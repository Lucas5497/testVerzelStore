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Projetos\testVerzelStore\reports\"/>
    </mc:Choice>
  </mc:AlternateContent>
  <xr:revisionPtr revIDLastSave="0" documentId="13_ncr:1_{CC9C1D9C-AC74-464C-B904-5F3B1BA1C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Teste" sheetId="1" r:id="rId1"/>
    <sheet name="Planilha1" sheetId="4" r:id="rId2"/>
    <sheet name="Resumo" sheetId="2" r:id="rId3"/>
    <sheet name="Como Usar" sheetId="3" r:id="rId4"/>
  </sheets>
  <calcPr calcId="191029"/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Registrar dúvidas, comportamentos não especificados, dependências ou pontos que precisam ser confirmados.</t>
        </r>
      </text>
    </comment>
    <comment ref="L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Preencher somente após a execução.</t>
        </r>
      </text>
    </comment>
    <comment ref="N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Inserir screenshot, vídeo, log, evidência de API ou outro artefato.</t>
        </r>
      </text>
    </comment>
    <comment ref="O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Usar BUG-XXX quando houver defeito registrado.</t>
        </r>
      </text>
    </comment>
  </commentList>
</comments>
</file>

<file path=xl/sharedStrings.xml><?xml version="1.0" encoding="utf-8"?>
<sst xmlns="http://schemas.openxmlformats.org/spreadsheetml/2006/main" count="706" uniqueCount="319">
  <si>
    <t>ID Cenário</t>
  </si>
  <si>
    <t>Cenário</t>
  </si>
  <si>
    <t>ID Caso</t>
  </si>
  <si>
    <t>Critério</t>
  </si>
  <si>
    <t>Técnica</t>
  </si>
  <si>
    <t>Prioridade</t>
  </si>
  <si>
    <t>Pré-condições</t>
  </si>
  <si>
    <t>Dados de Teste</t>
  </si>
  <si>
    <t>Passo a Passo</t>
  </si>
  <si>
    <t>Resultado Esperado</t>
  </si>
  <si>
    <t>Ponto de Atenção / Dúvida</t>
  </si>
  <si>
    <t>Resultado Obtido</t>
  </si>
  <si>
    <t>Status</t>
  </si>
  <si>
    <t>Evidência</t>
  </si>
  <si>
    <t>Bug ID</t>
  </si>
  <si>
    <t>Observações</t>
  </si>
  <si>
    <t>CEN-CUP</t>
  </si>
  <si>
    <t>Aplicação e validação de cupons</t>
  </si>
  <si>
    <t>CT-CUP-001</t>
  </si>
  <si>
    <t>CA01</t>
  </si>
  <si>
    <t>Particionamento de Equivalência</t>
  </si>
  <si>
    <t>Alta</t>
  </si>
  <si>
    <t>Carrinho com pelo menos um produto.</t>
  </si>
  <si>
    <t>BEMVINDO10</t>
  </si>
  <si>
    <t>1. Adicionar produto.
2. Identificar subtotal.
3. Aplicar BEMVINDO10.
4. Observar desconto.
5. Observar total.</t>
  </si>
  <si>
    <t>Cupom aceito; desconto de 10% sobre subtotal; desconto exibido corretamente; total recalculado.</t>
  </si>
  <si>
    <t>Confirmar comportamento real da aplicação.</t>
  </si>
  <si>
    <t>Não Executado</t>
  </si>
  <si>
    <t>CT-CUP-002</t>
  </si>
  <si>
    <t>CA02</t>
  </si>
  <si>
    <t>Média</t>
  </si>
  <si>
    <t>bemvindo10</t>
  </si>
  <si>
    <t>1. Adicionar produto.
2. Aplicar bemvindo10.
3. Observar resultado.</t>
  </si>
  <si>
    <t>Cupom aceito e mesmo desconto produzido por BEMVINDO10.</t>
  </si>
  <si>
    <t>Validar normalização case-insensitive.</t>
  </si>
  <si>
    <t>CT-CUP-003</t>
  </si>
  <si>
    <t>Error Guessing</t>
  </si>
  <si>
    <t xml:space="preserve">   BEMVINDO10</t>
  </si>
  <si>
    <t>1. Adicionar produto.
2. Aplicar cupom com espaços no início.
3. Observar resultado.</t>
  </si>
  <si>
    <t>Espaço inicial ignorado e cupom aceito.</t>
  </si>
  <si>
    <t>Confirmar tratamento de whitespace.</t>
  </si>
  <si>
    <t>CT-CUP-004</t>
  </si>
  <si>
    <t xml:space="preserve">BEMVINDO10   </t>
  </si>
  <si>
    <t>1. Adicionar produto.
2. Aplicar cupom com espaços no final.
3. Observar resultado.</t>
  </si>
  <si>
    <t>Espaço final ignorado e cupom aceito.</t>
  </si>
  <si>
    <t>CT-CUP-005</t>
  </si>
  <si>
    <t>CA03</t>
  </si>
  <si>
    <t>CUPOMINEXISTENTE</t>
  </si>
  <si>
    <t>1. Adicionar produto.
2. Aplicar cupom inexistente.
3. Observar mensagem e valores.</t>
  </si>
  <si>
    <t>Rejeitar cupom; mensagem exatamente 'Cupom inválido.'; nenhum desconto; valores sem desconto.</t>
  </si>
  <si>
    <t>Validar mensagem exatamente como especificada.</t>
  </si>
  <si>
    <t>CT-CUP-006</t>
  </si>
  <si>
    <t>CA04</t>
  </si>
  <si>
    <t>Cupom identificado na documentação/API como expirado.</t>
  </si>
  <si>
    <t>1. Adicionar produto.
2. Informar cupom expirado.
3. Observar mensagem e valores.</t>
  </si>
  <si>
    <t>Rejeitar cupom; mensagem exatamente 'Cupom expirado.'; nenhum desconto.</t>
  </si>
  <si>
    <t>Código expirado não informado; obter da documentação/dados da aplicação.</t>
  </si>
  <si>
    <t>CT-CUP-007</t>
  </si>
  <si>
    <t>CA05</t>
  </si>
  <si>
    <t>Transição de Estados</t>
  </si>
  <si>
    <t>Carrinho com produto e cupom A aplicável.</t>
  </si>
  <si>
    <t>Cupom A + cupom B válidos, se disponibilizados.</t>
  </si>
  <si>
    <t>1. Aplicar A.
2. Sem remover A, tentar aplicar B.
3. Observar estado e mensagem.</t>
  </si>
  <si>
    <t>Dois cupons não devem permanecer ativos simultaneamente.</t>
  </si>
  <si>
    <t>Comportamento/mensagem específica deve ser confirmado.</t>
  </si>
  <si>
    <t>CT-CUP-008</t>
  </si>
  <si>
    <t>Carrinho com produto e cupons A/B disponíveis.</t>
  </si>
  <si>
    <t>Cupom A + cupom B.</t>
  </si>
  <si>
    <t>1. Aplicar A.
2. Remover A.
3. Aplicar B.
4. Recalcular carrinho.</t>
  </si>
  <si>
    <t>A deixa de produzir desconto; carrinho recalculado; B aplicado; somente B ativo.</t>
  </si>
  <si>
    <t>Confirmar controles disponíveis para remoção.</t>
  </si>
  <si>
    <t>CEN-FRT</t>
  </si>
  <si>
    <t>Cálculo e elegibilidade de frete</t>
  </si>
  <si>
    <t>CT-FRT-001</t>
  </si>
  <si>
    <t>CA07</t>
  </si>
  <si>
    <t>Carrinho com subtotal abaixo de R$ 200,00.</t>
  </si>
  <si>
    <t>1. Montar subtotal de R$ 100,00.
2. Observar frete.
3. Observar valor faltante.</t>
  </si>
  <si>
    <t>Frete R$ 19,90; informar quanto falta para frete grátis.</t>
  </si>
  <si>
    <t>Confirmar formato de apresentação do valor faltante.</t>
  </si>
  <si>
    <t>CT-FRT-002</t>
  </si>
  <si>
    <t>CA06</t>
  </si>
  <si>
    <t>Valor Limite</t>
  </si>
  <si>
    <t>Crítica</t>
  </si>
  <si>
    <t>Carrinho com subtotal exato de R$ 200,00.</t>
  </si>
  <si>
    <t>Subtotal R$ 200,00.</t>
  </si>
  <si>
    <t>1. Montar subtotal de R$ 200,00.
2. Observar frete.</t>
  </si>
  <si>
    <t>Frete R$ 0,00; frete grátis.</t>
  </si>
  <si>
    <t>Caso crítico de fronteira.</t>
  </si>
  <si>
    <t>CT-FRT-003</t>
  </si>
  <si>
    <t>Carrinho com subtotal acima de R$ 200,00.</t>
  </si>
  <si>
    <t>Subtotal R$ 200,01.</t>
  </si>
  <si>
    <t>Frete R$ 0,00.</t>
  </si>
  <si>
    <t>Confirmar regra acima do limite.</t>
  </si>
  <si>
    <t>CT-FRT-004</t>
  </si>
  <si>
    <t>Carrinho com subtotal exato de R$ 199,99.</t>
  </si>
  <si>
    <t>Subtotal R$ 199,99.</t>
  </si>
  <si>
    <t>1. Montar subtotal de R$ 199,99.
2. Observar frete.
3. Observar valor faltante.</t>
  </si>
  <si>
    <t>Frete R$ 19,90; falta exatamente R$ 0,01 para frete grátis.</t>
  </si>
  <si>
    <t>Validar precisão monetária.</t>
  </si>
  <si>
    <t>CT-FRT-005</t>
  </si>
  <si>
    <t>Carrinho com subtotal abaixo do limite.</t>
  </si>
  <si>
    <t>Subtotal R$ 150,00.</t>
  </si>
  <si>
    <t>1. Montar subtotal de R$ 150,00.
2. Observar frete.
3. Observar valor faltante.</t>
  </si>
  <si>
    <t>Frete R$ 19,90; falta R$ 50,00 para frete grátis.</t>
  </si>
  <si>
    <t>Validar cálculo do valor faltante.</t>
  </si>
  <si>
    <t>CT-FRT-006</t>
  </si>
  <si>
    <t>CA08</t>
  </si>
  <si>
    <t>Tabela de Decisão / Regra de Negócio</t>
  </si>
  <si>
    <t>CT-FRT-007</t>
  </si>
  <si>
    <t>CA09</t>
  </si>
  <si>
    <t>Tabela de Decisão</t>
  </si>
  <si>
    <t>Subtotal abaixo de R$ 200,00; cupom disponível.</t>
  </si>
  <si>
    <t>R$ 100,00 + BEMVINDO10</t>
  </si>
  <si>
    <t>1. Montar R$ 100,00.
2. Aplicar cupom.
3. Validar desconto.
4. Validar frete.
5. Validar total.</t>
  </si>
  <si>
    <t>Subtotal R$ 100,00; desconto R$ 10,00; frete R$ 19,90; desconto somente sobre produtos.</t>
  </si>
  <si>
    <t>Confirmar que desconto não altera frete.</t>
  </si>
  <si>
    <t>CEN-QTD</t>
  </si>
  <si>
    <t>Limite de quantidade por produto</t>
  </si>
  <si>
    <t>CT-QTD-001</t>
  </si>
  <si>
    <t>CA10</t>
  </si>
  <si>
    <t>Produto disponível.</t>
  </si>
  <si>
    <t>Quantidade 4</t>
  </si>
  <si>
    <t>1. Adicionar produto.
2. Ajustar para 4.
3. Atualizar carrinho.</t>
  </si>
  <si>
    <t>Permitir 4 unidades.</t>
  </si>
  <si>
    <t>Confirmar estoque disponível.</t>
  </si>
  <si>
    <t>CT-QTD-002</t>
  </si>
  <si>
    <t>Quantidade 5</t>
  </si>
  <si>
    <t>1. Adicionar produto.
2. Ajustar para 5.
3. Atualizar carrinho.</t>
  </si>
  <si>
    <t>Permitir exatamente 5 unidades.</t>
  </si>
  <si>
    <t>CT-QTD-003</t>
  </si>
  <si>
    <t>Valor Limite / Error Guessing</t>
  </si>
  <si>
    <t>Quantidade 6</t>
  </si>
  <si>
    <t>1. Adicionar produto.
2. Tentar ajustar para 6 pela UI.
3. Observar comportamento.</t>
  </si>
  <si>
    <t>UI não permite quantidade superior a 5.</t>
  </si>
  <si>
    <t>Registrar comportamento real sem assumir mensagem.</t>
  </si>
  <si>
    <t>CT-QTD-004</t>
  </si>
  <si>
    <t>Fronteira / API</t>
  </si>
  <si>
    <t>Endpoint e produto válidos disponíveis.</t>
  </si>
  <si>
    <t>Quantidade 6 no payload</t>
  </si>
  <si>
    <t>1. Enviar requisição solicitando 6.
2. Observar resposta.
3. Verificar estado do pedido/carrinho.</t>
  </si>
  <si>
    <t>API impede mais de 5 unidades do mesmo produto.</t>
  </si>
  <si>
    <t>Status HTTP e mensagem devem ser confirmados pela documentação/resposta real.</t>
  </si>
  <si>
    <t>CT-QTD-005</t>
  </si>
  <si>
    <t>Quantidade 5 no payload</t>
  </si>
  <si>
    <t>1. Enviar requisição com 5.
2. Observar resposta.</t>
  </si>
  <si>
    <t>API aceita quantidade máxima: 5.</t>
  </si>
  <si>
    <t>Confirmar contrato real da API.</t>
  </si>
  <si>
    <t>CT-QTD-006</t>
  </si>
  <si>
    <t>Consistência entre camadas</t>
  </si>
  <si>
    <t>Produto e acesso UI/API disponíveis.</t>
  </si>
  <si>
    <t>UI: 5/6; API: 5/6</t>
  </si>
  <si>
    <t>1. Validar limite 5 UI.
2. Tentar 6 UI.
3. Validar limite 5 API.
4. Tentar 6 API.
5. Comparar resultados.</t>
  </si>
  <si>
    <t>UI e API aplicam máximo 5; nenhuma camada permite contornar a regra.</t>
  </si>
  <si>
    <t>Comparar mensagem, estado final e resposta HTTP quando aplicável.</t>
  </si>
  <si>
    <t>CEN-VAL</t>
  </si>
  <si>
    <t>Arredondamento e consistência monetária</t>
  </si>
  <si>
    <t>CT-VAL-001</t>
  </si>
  <si>
    <t>CA11</t>
  </si>
  <si>
    <t>Carrinho com subtotal adequado.</t>
  </si>
  <si>
    <t>Subtotal R$ 100,00</t>
  </si>
  <si>
    <t>1. Montar R$ 100,00.
2. Aplicar BEMVINDO10.
3. Conferir subtotal, desconto e total.</t>
  </si>
  <si>
    <t>Valores monetários com no máximo 2 casas; desconto R$ 10,00.</t>
  </si>
  <si>
    <t>Validar padrão monetário apresentado.</t>
  </si>
  <si>
    <t>CT-VAL-002</t>
  </si>
  <si>
    <t>Carrinho com produto/preço que gere mais de 2 casas.</t>
  </si>
  <si>
    <t>Subtotal que produza resultado intermediário</t>
  </si>
  <si>
    <t>1. Montar subtotal adequado.
2. Aplicar cupom.
3. Observar cálculo.
4. Comparar com regra/API.</t>
  </si>
  <si>
    <t>Valor final com no máximo 2 casas e método de arredondamento conforme aplicação.</t>
  </si>
  <si>
    <t>Método para valores exatamente intermediários não especificado; confirmar documentação/API.</t>
  </si>
  <si>
    <t>CT-VAL-003</t>
  </si>
  <si>
    <t>Regra de Negócio</t>
  </si>
  <si>
    <t>Carrinho com subtotal, cupom e frete definidos.</t>
  </si>
  <si>
    <t>Dados conforme regra aplicável</t>
  </si>
  <si>
    <t>1. Registrar subtotal.
2. Registrar desconto.
3. Registrar frete.
4. Calcular Subtotal - Desconto + Frete.
5. Comparar com total exibido/API.</t>
  </si>
  <si>
    <t>Subtotal, desconto, frete e total com 2 casas; total consistente e sem divergência.</t>
  </si>
  <si>
    <t>Verificar consistência UI × API quando disponível.</t>
  </si>
  <si>
    <t>Métrica</t>
  </si>
  <si>
    <t>Valor</t>
  </si>
  <si>
    <t>Total de casos</t>
  </si>
  <si>
    <t>Em Execução</t>
  </si>
  <si>
    <t>Passou</t>
  </si>
  <si>
    <t>Falhou</t>
  </si>
  <si>
    <t>Bloqueado</t>
  </si>
  <si>
    <t>Não Aplicável</t>
  </si>
  <si>
    <t>Objetivo</t>
  </si>
  <si>
    <t>Planilha operacional para registrar cenários/casos e acompanhar a execução.</t>
  </si>
  <si>
    <t>1</t>
  </si>
  <si>
    <t>Comece pelos casos de prioridade Crítica e Alta.</t>
  </si>
  <si>
    <t>2</t>
  </si>
  <si>
    <t>Preencha Resultado Obtido somente após executar.</t>
  </si>
  <si>
    <t>3</t>
  </si>
  <si>
    <t>Use Status para acompanhar a execução.</t>
  </si>
  <si>
    <t>4</t>
  </si>
  <si>
    <t>Registre screenshot/vídeo/log/API em Evidência.</t>
  </si>
  <si>
    <t>5</t>
  </si>
  <si>
    <t>Quando houver defeito, use BUG-XXX em Bug ID.</t>
  </si>
  <si>
    <t>6</t>
  </si>
  <si>
    <t>Não invente comportamentos ainda indefinidos; registre em Ponto de Atenção / Dúvida.</t>
  </si>
  <si>
    <t>7</t>
  </si>
  <si>
    <t>CT-CUP-006: obter cupom expirado da documentação/API.</t>
  </si>
  <si>
    <t>8</t>
  </si>
  <si>
    <t>CT-QTD-004: registrar status HTTP real da API.</t>
  </si>
  <si>
    <t>9</t>
  </si>
  <si>
    <t>CT-VAL-002: confirmar método de arredondamento pela documentação/API.</t>
  </si>
  <si>
    <t>10</t>
  </si>
  <si>
    <t>A aba Resumo acompanha a evolução dos resultados.</t>
  </si>
  <si>
    <t>Subtotal R$ 199,90.</t>
  </si>
  <si>
    <t>1. Montar subtotal de R$ 209,40.
2. Observar frete.</t>
  </si>
  <si>
    <t>Subtotal acima de R$ 200,00; cupom disponível.</t>
  </si>
  <si>
    <t>R$ 209,40 + BEMVINDO10</t>
  </si>
  <si>
    <t>1. Montar R$ 209,40.
2. Aplicar BEMVINDO10.
3. Validar desconto.
4. Validar subtotal após desconto.
5. Validar frete.
6. Validar total.</t>
  </si>
  <si>
    <t>Subtotal R$ 209,40; desconto R$ 20,94; subtotal pós-desconto R$ 188,46; frete R$ 0,00; total R$ 188,46.</t>
  </si>
  <si>
    <t>Frete considera subtotal antes do desconto; não recalcular com R$ 188,46.</t>
  </si>
  <si>
    <t>Aplicação e validação de cupons pela API</t>
  </si>
  <si>
    <t>CT-API-CUP-001</t>
  </si>
  <si>
    <t>Particionamento de Equivalência / API</t>
  </si>
  <si>
    <t>API aceita o cupom; desconto de 10% sobre o subtotal; valores calculados corretamente.</t>
  </si>
  <si>
    <t>Validar status HTTP, estrutura da resposta e valores retornados.</t>
  </si>
  <si>
    <t>Validar consistência com CT-CUP-001 da UI.</t>
  </si>
  <si>
    <t>CT-API-CUP-002</t>
  </si>
  <si>
    <t>API aceita o cupom em letras minúsculas e produz o mesmo desconto do cupom em letras maiúsculas.</t>
  </si>
  <si>
    <t>Confirmar comportamento case-insensitive na API.</t>
  </si>
  <si>
    <t>Validar consistência com CT-CUP-002.</t>
  </si>
  <si>
    <t>CT-API-CUP-003</t>
  </si>
  <si>
    <t>Error Guessing / API</t>
  </si>
  <si>
    <t>API ignora espaços no início e no final e aceita o cupom corretamente.</t>
  </si>
  <si>
    <t>Confirmar tratamento de whitespace na camada de API.</t>
  </si>
  <si>
    <t>Validar consistência com CT-CUP-003 e CT-CUP-004.</t>
  </si>
  <si>
    <t>CT-API-CUP-004</t>
  </si>
  <si>
    <t>Confirmar status HTTP e mensagem exatamente conforme regra.</t>
  </si>
  <si>
    <t>Validar consistência com CT-CUP-005.</t>
  </si>
  <si>
    <t>CT-API-CUP-005</t>
  </si>
  <si>
    <t>Confirmar comportamento do cupom expirado na API.</t>
  </si>
  <si>
    <t>Validar consistência com CT-CUP-006.</t>
  </si>
  <si>
    <t>CT-API-CUP-006</t>
  </si>
  <si>
    <t>Transição de Estados / API</t>
  </si>
  <si>
    <t>Endpoint de cálculo disponível e cupom válido disponível.</t>
  </si>
  <si>
    <t>Cupom A + tentativa de cupom B</t>
  </si>
  <si>
    <t>API não permite que dois cupons permaneçam ativos simultaneamente.</t>
  </si>
  <si>
    <t>Confirmar como a API representa o cupom ativo e qual resposta ocorre na segunda aplicação.</t>
  </si>
  <si>
    <t>Complementa CT-CUP-007 e CT-CUP-008.</t>
  </si>
  <si>
    <t>Cálculo e elegibilidade de frete pela API</t>
  </si>
  <si>
    <t>CT-API-FRT-001</t>
  </si>
  <si>
    <t>Subtotal R$ 199,90</t>
  </si>
  <si>
    <t>API retorna frete de R$ 19,90 e informa que faltam R$ 0,10 para frete grátis.</t>
  </si>
  <si>
    <t>Validar precisão do valor faltante e estrutura da resposta.</t>
  </si>
  <si>
    <t>Complementa CT-FRT-001.</t>
  </si>
  <si>
    <t>CT-API-FRT-002</t>
  </si>
  <si>
    <t>Valor Limite / API</t>
  </si>
  <si>
    <t>Subtotal R$ 200,00</t>
  </si>
  <si>
    <t>Caso crítico para investigação do BUG-001.</t>
  </si>
  <si>
    <t>BUG-001</t>
  </si>
  <si>
    <t>Validar se a falha encontrada na UI também ocorre na API.</t>
  </si>
  <si>
    <t>CT-API-FRT-003</t>
  </si>
  <si>
    <t>Subtotal R$ 209,40</t>
  </si>
  <si>
    <t>API retorna frete R$ 0,00 e frete grátis para subtotal superior a R$ 200,00.</t>
  </si>
  <si>
    <t>Comparar com o comportamento observado na UI.</t>
  </si>
  <si>
    <t>Complementa CT-FRT-003.</t>
  </si>
  <si>
    <t>CT-API-FRT-004</t>
  </si>
  <si>
    <t>Subtotal R$ 199,99</t>
  </si>
  <si>
    <t>API retorna frete R$ 19,90 e informa que falta exatamente R$ 0,01 para frete grátis.</t>
  </si>
  <si>
    <t>O catálogo atual pode não permitir atingir exatamente R$ 199,99.</t>
  </si>
  <si>
    <t>Manter bloqueado caso não exista combinação de produtos que produza o valor exato.</t>
  </si>
  <si>
    <t>CT-API-FRT-005</t>
  </si>
  <si>
    <t>Tabela de Decisão / Regra de Negócio / API</t>
  </si>
  <si>
    <t>Frete deve considerar o subtotal antes do desconto.</t>
  </si>
  <si>
    <t>Validar consistência com CT-FRT-006.</t>
  </si>
  <si>
    <t>CT-API-FRT-006</t>
  </si>
  <si>
    <t>Tabela de Decisão / API</t>
  </si>
  <si>
    <t>Desconto de R$ 10,00 incide somente sobre produtos; frete permanece R$ 19,90; total R$ 109,90.</t>
  </si>
  <si>
    <t>Confirmar que o desconto não altera o valor do frete.</t>
  </si>
  <si>
    <t>Validar consistência com CT-FRT-007.</t>
  </si>
  <si>
    <t>CT-API-QTD-007</t>
  </si>
  <si>
    <t>Regra de Negócio / Error Guessing / API</t>
  </si>
  <si>
    <t>Produto P003; quantidade 6</t>
  </si>
  <si>
    <t>API deve impedir a criação do pedido com mais de 5 unidades do mesmo produto.</t>
  </si>
  <si>
    <t>Validar status HTTP, mensagem e ausência de criação do pedido.</t>
  </si>
  <si>
    <t>BUG-002</t>
  </si>
  <si>
    <t>Complementa CT-QTD-004, que identificou a aceitação de quantidade superior ao limite.</t>
  </si>
  <si>
    <t>CT-API-VAL-001</t>
  </si>
  <si>
    <t>Regra de Negócio / API</t>
  </si>
  <si>
    <t>API retorna valores com no máximo 2 casas decimais e total consistente com subtotal - desconto + frete.</t>
  </si>
  <si>
    <t>Validar consistência entre os campos retornados pela API.</t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</si>
  <si>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e produto válido disponíveis.</t>
    </r>
  </si>
  <si>
    <r>
      <t xml:space="preserve">Produto P005; quantidade 1; cupom </t>
    </r>
    <r>
      <rPr>
        <sz val="10"/>
        <color theme="1"/>
        <rFont val="Arial Unicode MS"/>
      </rPr>
      <t>BEMVINDO10</t>
    </r>
  </si>
  <si>
    <r>
      <t xml:space="preserve">1. Enviar requisição para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.2. Informar produto P005 e quantidade 1.3. Informar </t>
    </r>
    <r>
      <rPr>
        <sz val="10"/>
        <color theme="1"/>
        <rFont val="Arial Unicode MS"/>
      </rPr>
      <t>BEMVINDO10</t>
    </r>
    <r>
      <rPr>
        <sz val="11"/>
        <color theme="1"/>
        <rFont val="Calibri"/>
        <family val="2"/>
        <scheme val="minor"/>
      </rPr>
      <t>.4. Observar resposta.5. Validar subtotal, desconto, frete e total.</t>
    </r>
  </si>
  <si>
    <r>
      <t xml:space="preserve">Cupom </t>
    </r>
    <r>
      <rPr>
        <sz val="10"/>
        <color theme="1"/>
        <rFont val="Arial Unicode MS"/>
      </rPr>
      <t>bemvindo10</t>
    </r>
  </si>
  <si>
    <r>
      <t xml:space="preserve">1. Enviar requisição para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.2. Informar o cupom em letras minúsculas.3. Observar resposta.4. Comparar com o resultado do cupom </t>
    </r>
    <r>
      <rPr>
        <sz val="10"/>
        <color theme="1"/>
        <rFont val="Arial Unicode MS"/>
      </rPr>
      <t>BEMVINDO10</t>
    </r>
    <r>
      <rPr>
        <sz val="11"/>
        <color theme="1"/>
        <rFont val="Calibri"/>
        <family val="2"/>
        <scheme val="minor"/>
      </rPr>
      <t>.</t>
    </r>
  </si>
  <si>
    <r>
      <t>BEMVINDO10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BEMVINDO10</t>
    </r>
  </si>
  <si>
    <t>1. Enviar requisição com espaço no início do cupom.2. Observar resposta.3. Repetir com espaço no final.4. Comparar os resultados.</t>
  </si>
  <si>
    <r>
      <t xml:space="preserve">Cupom </t>
    </r>
    <r>
      <rPr>
        <sz val="10"/>
        <color theme="1"/>
        <rFont val="Arial Unicode MS"/>
      </rPr>
      <t>CUPOMINEXISTENTE</t>
    </r>
  </si>
  <si>
    <t>1. Enviar requisição com cupom inexistente.2. Observar status HTTP.3. Observar mensagem retornada.4. Verificar desconto e total.</t>
  </si>
  <si>
    <r>
      <t xml:space="preserve">API rejeita o cupom; retorna mensagem </t>
    </r>
    <r>
      <rPr>
        <sz val="10"/>
        <color theme="1"/>
        <rFont val="Arial Unicode MS"/>
      </rPr>
      <t>Cupom inválido.</t>
    </r>
    <r>
      <rPr>
        <sz val="11"/>
        <color theme="1"/>
        <rFont val="Calibri"/>
        <family val="2"/>
        <scheme val="minor"/>
      </rPr>
      <t>; nenhum desconto é aplicado.</t>
    </r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</si>
  <si>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e produto válido disponíveis; cupom expirado disponível.</t>
    </r>
  </si>
  <si>
    <r>
      <t xml:space="preserve">Cupom </t>
    </r>
    <r>
      <rPr>
        <sz val="10"/>
        <color theme="1"/>
        <rFont val="Arial Unicode MS"/>
      </rPr>
      <t>VERAO2026</t>
    </r>
  </si>
  <si>
    <t>1. Enviar requisição com cupom expirado.2. Observar status HTTP.3. Observar mensagem retornada.4. Verificar desconto.</t>
  </si>
  <si>
    <r>
      <t xml:space="preserve">API rejeita o cupom; retorna mensagem </t>
    </r>
    <r>
      <rPr>
        <sz val="10"/>
        <color theme="1"/>
        <rFont val="Arial Unicode MS"/>
      </rPr>
      <t>Cupom expirado.</t>
    </r>
    <r>
      <rPr>
        <sz val="11"/>
        <color theme="1"/>
        <rFont val="Calibri"/>
        <family val="2"/>
        <scheme val="minor"/>
      </rPr>
      <t>; nenhum desconto é aplicado.</t>
    </r>
  </si>
  <si>
    <t>1. Aplicar cupom A pela API.2. Sem remover o cupom A, tentar aplicar cupom B.3. Observar resposta.4. Verificar estado final do desconto.</t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</si>
  <si>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e produtos válidos disponíveis.</t>
    </r>
  </si>
  <si>
    <t>1. Montar payload que resulte em subtotal de R$ 199,90.2. Enviar requisição.3. Observar frete.4. Observar valor faltante.</t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</si>
  <si>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disponível; produtos que permitam subtotal de R$ 200,00 disponíveis.</t>
    </r>
  </si>
  <si>
    <t>1. Montar subtotal de R$ 200,00.2. Enviar requisição para a API.3. Observar frete.4. Observar indicador de frete grátis.</t>
  </si>
  <si>
    <r>
      <t xml:space="preserve">API retorna frete R$ 0,00 e </t>
    </r>
    <r>
      <rPr>
        <sz val="10"/>
        <color theme="1"/>
        <rFont val="Arial Unicode MS"/>
      </rPr>
      <t>freteGratis = true</t>
    </r>
    <r>
      <rPr>
        <sz val="11"/>
        <color theme="1"/>
        <rFont val="Calibri"/>
        <family val="2"/>
        <scheme val="minor"/>
      </rPr>
      <t xml:space="preserve"> para subtotal exatamente igual a R$ 200,00.</t>
    </r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</si>
  <si>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disponível.</t>
    </r>
  </si>
  <si>
    <t>1. Montar subtotal de R$ 209,40.2. Enviar requisição.3. Observar frete.4. Validar indicador de frete grátis.</t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</si>
  <si>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disponível; dados que permitam subtotal exato de R$ 199,99.</t>
    </r>
  </si>
  <si>
    <t>1. Montar subtotal de R$ 199,99.2. Enviar requisição.3. Observar frete.4. Observar valor faltante.</t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</si>
  <si>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>; produto e cupom disponíveis.</t>
    </r>
  </si>
  <si>
    <r>
      <t xml:space="preserve">Subtotal R$ 209,40 + </t>
    </r>
    <r>
      <rPr>
        <sz val="10"/>
        <color theme="1"/>
        <rFont val="Arial Unicode MS"/>
      </rPr>
      <t>BEMVINDO10</t>
    </r>
  </si>
  <si>
    <r>
      <t xml:space="preserve">1. Montar subtotal de R$ 209,40.2. Aplicar </t>
    </r>
    <r>
      <rPr>
        <sz val="10"/>
        <color theme="1"/>
        <rFont val="Arial Unicode MS"/>
      </rPr>
      <t>BEMVINDO10</t>
    </r>
    <r>
      <rPr>
        <sz val="11"/>
        <color theme="1"/>
        <rFont val="Calibri"/>
        <family val="2"/>
        <scheme val="minor"/>
      </rPr>
      <t xml:space="preserve"> pela API.3. Validar desconto.4. Validar frete.5. Validar total.</t>
    </r>
  </si>
  <si>
    <r>
      <t xml:space="preserve">Subtotal R$ 100,00 + </t>
    </r>
    <r>
      <rPr>
        <sz val="10"/>
        <color theme="1"/>
        <rFont val="Arial Unicode MS"/>
      </rPr>
      <t>BEMVINDO10</t>
    </r>
  </si>
  <si>
    <r>
      <t xml:space="preserve">1. Montar subtotal de R$ 100,00.2. Aplicar </t>
    </r>
    <r>
      <rPr>
        <sz val="10"/>
        <color theme="1"/>
        <rFont val="Arial Unicode MS"/>
      </rPr>
      <t>BEMVINDO10</t>
    </r>
    <r>
      <rPr>
        <sz val="11"/>
        <color theme="1"/>
        <rFont val="Calibri"/>
        <family val="2"/>
        <scheme val="minor"/>
      </rPr>
      <t>.3. Validar desconto.4. Validar frete.5. Validar total.</t>
    </r>
  </si>
  <si>
    <r>
      <t xml:space="preserve">Endpoint </t>
    </r>
    <r>
      <rPr>
        <sz val="10"/>
        <color theme="1"/>
        <rFont val="Arial Unicode MS"/>
      </rPr>
      <t>/api/pedidos</t>
    </r>
    <r>
      <rPr>
        <sz val="11"/>
        <color theme="1"/>
        <rFont val="Calibri"/>
        <family val="2"/>
        <scheme val="minor"/>
      </rPr>
      <t xml:space="preserve"> e produto válido disponíveis.</t>
    </r>
  </si>
  <si>
    <r>
      <t xml:space="preserve">1. Enviar requisição para </t>
    </r>
    <r>
      <rPr>
        <sz val="10"/>
        <color theme="1"/>
        <rFont val="Arial Unicode MS"/>
      </rPr>
      <t>/api/pedidos</t>
    </r>
    <r>
      <rPr>
        <sz val="11"/>
        <color theme="1"/>
        <rFont val="Calibri"/>
        <family val="2"/>
        <scheme val="minor"/>
      </rPr>
      <t xml:space="preserve"> com 6 unidades do mesmo produto.2. Observar status HTTP.3. Observar resposta.4. Verificar se o pedido foi criado.</t>
    </r>
  </si>
  <si>
    <r>
      <t xml:space="preserve">Endpoint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 disponível; carrinho com subtotal, cupom e frete definidos.</t>
    </r>
  </si>
  <si>
    <t>1. Enviar requisição para cálculo do carrinho.2. Observar subtotal.3. Observar desconto.4. Observar frete.5. Observar total.6. Comparar os valores matematicamente.</t>
  </si>
  <si>
    <t>Complementa CT</t>
  </si>
  <si>
    <r>
      <t xml:space="preserve">1. Enviar requisição para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.
2. Informar produto P005 e quantidade1.
3. Informar </t>
    </r>
    <r>
      <rPr>
        <sz val="10"/>
        <color theme="1"/>
        <rFont val="Arial Unicode MS"/>
      </rPr>
      <t>BEMVINDO10</t>
    </r>
    <r>
      <rPr>
        <sz val="11"/>
        <color theme="1"/>
        <rFont val="Calibri"/>
        <family val="2"/>
        <scheme val="minor"/>
      </rPr>
      <t>.
4. Observar resposta.
5. Validar subtotal, desconto, frete e total.</t>
    </r>
  </si>
  <si>
    <r>
      <t xml:space="preserve">1. Enviar requisição para </t>
    </r>
    <r>
      <rPr>
        <sz val="10"/>
        <color theme="1"/>
        <rFont val="Arial Unicode MS"/>
      </rPr>
      <t>/api/carrinho/calcular</t>
    </r>
    <r>
      <rPr>
        <sz val="11"/>
        <color theme="1"/>
        <rFont val="Calibri"/>
        <family val="2"/>
        <scheme val="minor"/>
      </rPr>
      <t xml:space="preserve">.
2. Informar o cupom em letras minúsculas.
3. Observar resposta.
4. Comparar com o resultado do cupom </t>
    </r>
    <r>
      <rPr>
        <sz val="10"/>
        <color theme="1"/>
        <rFont val="Arial Unicode MS"/>
      </rPr>
      <t>BEMVINDO10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</si>
</sst>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  <fill>
      <patternFill patternType="solid">
        <fgColor rgb="FF53F75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3" fillId="3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fgColor rgb="FFE7E6E6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mruColors>
      <color rgb="FF53F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CasosTeste" displayName="MatrizCasosTeste" ref="A1:P25">
  <autoFilter ref="A1:P25" xr:uid="{00000000-0009-0000-0100-000001000000}"/>
  <tableColumns count="16">
    <tableColumn id="1" xr3:uid="{00000000-0010-0000-0000-000001000000}" name="ID Cenário"/>
    <tableColumn id="2" xr3:uid="{00000000-0010-0000-0000-000002000000}" name="Cenário"/>
    <tableColumn id="3" xr3:uid="{00000000-0010-0000-0000-000003000000}" name="ID Caso"/>
    <tableColumn id="4" xr3:uid="{00000000-0010-0000-0000-000004000000}" name="Critério"/>
    <tableColumn id="5" xr3:uid="{00000000-0010-0000-0000-000005000000}" name="Técnica"/>
    <tableColumn id="6" xr3:uid="{00000000-0010-0000-0000-000006000000}" name="Prioridade"/>
    <tableColumn id="7" xr3:uid="{00000000-0010-0000-0000-000007000000}" name="Pré-condições"/>
    <tableColumn id="8" xr3:uid="{00000000-0010-0000-0000-000008000000}" name="Dados de Teste"/>
    <tableColumn id="9" xr3:uid="{00000000-0010-0000-0000-000009000000}" name="Passo a Passo"/>
    <tableColumn id="10" xr3:uid="{00000000-0010-0000-0000-00000A000000}" name="Resultado Esperado"/>
    <tableColumn id="11" xr3:uid="{00000000-0010-0000-0000-00000B000000}" name="Ponto de Atenção / Dúvida"/>
    <tableColumn id="12" xr3:uid="{00000000-0010-0000-0000-00000C000000}" name="Resultado Obtido"/>
    <tableColumn id="13" xr3:uid="{00000000-0010-0000-0000-00000D000000}" name="Status"/>
    <tableColumn id="14" xr3:uid="{00000000-0010-0000-0000-00000E000000}" name="Evidência"/>
    <tableColumn id="15" xr3:uid="{00000000-0010-0000-0000-00000F000000}" name="Bug ID"/>
    <tableColumn id="16" xr3:uid="{00000000-0010-0000-0000-000010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J1" workbookViewId="0">
      <pane ySplit="1" topLeftCell="A25" activePane="bottomLeft" state="frozen"/>
      <selection pane="bottomLeft" activeCell="P26" sqref="P26"/>
    </sheetView>
  </sheetViews>
  <sheetFormatPr defaultRowHeight="14.4"/>
  <cols>
    <col min="1" max="1" width="14.109375" customWidth="1"/>
    <col min="2" max="2" width="28.6640625" bestFit="1" customWidth="1"/>
    <col min="3" max="3" width="11.6640625" bestFit="1" customWidth="1"/>
    <col min="4" max="4" width="11.5546875" customWidth="1"/>
    <col min="5" max="5" width="28" customWidth="1"/>
    <col min="6" max="6" width="14.109375" customWidth="1"/>
    <col min="7" max="7" width="33.77734375" bestFit="1" customWidth="1"/>
    <col min="8" max="8" width="27.21875" bestFit="1" customWidth="1"/>
    <col min="9" max="9" width="34.109375" bestFit="1" customWidth="1"/>
    <col min="10" max="10" width="54.6640625" bestFit="1" customWidth="1"/>
    <col min="11" max="11" width="49.88671875" bestFit="1" customWidth="1"/>
    <col min="12" max="12" width="20.109375" bestFit="1" customWidth="1"/>
    <col min="13" max="13" width="13.5546875" bestFit="1" customWidth="1"/>
    <col min="14" max="14" width="13.44140625" bestFit="1" customWidth="1"/>
    <col min="15" max="15" width="10.88671875" bestFit="1" customWidth="1"/>
    <col min="16" max="16" width="16.109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7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/>
      <c r="M2" s="5" t="s">
        <v>180</v>
      </c>
      <c r="N2" s="5"/>
      <c r="O2" s="5"/>
      <c r="P2" s="5"/>
    </row>
    <row r="3" spans="1:16" ht="43.2">
      <c r="A3" s="5" t="s">
        <v>16</v>
      </c>
      <c r="B3" s="5" t="s">
        <v>17</v>
      </c>
      <c r="C3" s="5" t="s">
        <v>28</v>
      </c>
      <c r="D3" s="5" t="s">
        <v>29</v>
      </c>
      <c r="E3" s="5" t="s">
        <v>20</v>
      </c>
      <c r="F3" s="5" t="s">
        <v>30</v>
      </c>
      <c r="G3" s="5" t="s">
        <v>22</v>
      </c>
      <c r="H3" s="5" t="s">
        <v>31</v>
      </c>
      <c r="I3" s="5" t="s">
        <v>32</v>
      </c>
      <c r="J3" s="5" t="s">
        <v>33</v>
      </c>
      <c r="K3" s="5" t="s">
        <v>34</v>
      </c>
      <c r="L3" s="5"/>
      <c r="M3" s="5" t="s">
        <v>180</v>
      </c>
      <c r="N3" s="5"/>
      <c r="O3" s="5"/>
      <c r="P3" s="5"/>
    </row>
    <row r="4" spans="1:16" ht="43.2">
      <c r="A4" s="5" t="s">
        <v>16</v>
      </c>
      <c r="B4" s="5" t="s">
        <v>17</v>
      </c>
      <c r="C4" s="5" t="s">
        <v>35</v>
      </c>
      <c r="D4" s="5" t="s">
        <v>29</v>
      </c>
      <c r="E4" s="5" t="s">
        <v>36</v>
      </c>
      <c r="F4" s="5" t="s">
        <v>30</v>
      </c>
      <c r="G4" s="5" t="s">
        <v>22</v>
      </c>
      <c r="H4" s="5" t="s">
        <v>37</v>
      </c>
      <c r="I4" s="5" t="s">
        <v>38</v>
      </c>
      <c r="J4" s="5" t="s">
        <v>39</v>
      </c>
      <c r="K4" s="5" t="s">
        <v>40</v>
      </c>
      <c r="L4" s="5"/>
      <c r="M4" s="5" t="s">
        <v>180</v>
      </c>
      <c r="N4" s="5"/>
      <c r="O4" s="5"/>
      <c r="P4" s="5"/>
    </row>
    <row r="5" spans="1:16" ht="43.2">
      <c r="A5" s="5" t="s">
        <v>16</v>
      </c>
      <c r="B5" s="5" t="s">
        <v>17</v>
      </c>
      <c r="C5" s="5" t="s">
        <v>41</v>
      </c>
      <c r="D5" s="5" t="s">
        <v>29</v>
      </c>
      <c r="E5" s="5" t="s">
        <v>36</v>
      </c>
      <c r="F5" s="5" t="s">
        <v>30</v>
      </c>
      <c r="G5" s="5" t="s">
        <v>22</v>
      </c>
      <c r="H5" s="5" t="s">
        <v>42</v>
      </c>
      <c r="I5" s="5" t="s">
        <v>43</v>
      </c>
      <c r="J5" s="5" t="s">
        <v>44</v>
      </c>
      <c r="K5" s="5" t="s">
        <v>40</v>
      </c>
      <c r="L5" s="5"/>
      <c r="M5" s="5" t="s">
        <v>180</v>
      </c>
      <c r="N5" s="5"/>
      <c r="O5" s="5"/>
      <c r="P5" s="5"/>
    </row>
    <row r="6" spans="1:16" ht="43.2">
      <c r="A6" s="5" t="s">
        <v>16</v>
      </c>
      <c r="B6" s="5" t="s">
        <v>17</v>
      </c>
      <c r="C6" s="5" t="s">
        <v>45</v>
      </c>
      <c r="D6" s="5" t="s">
        <v>46</v>
      </c>
      <c r="E6" s="5" t="s">
        <v>20</v>
      </c>
      <c r="F6" s="5" t="s">
        <v>21</v>
      </c>
      <c r="G6" s="5" t="s">
        <v>22</v>
      </c>
      <c r="H6" s="5" t="s">
        <v>47</v>
      </c>
      <c r="I6" s="5" t="s">
        <v>48</v>
      </c>
      <c r="J6" s="5" t="s">
        <v>49</v>
      </c>
      <c r="K6" s="5" t="s">
        <v>50</v>
      </c>
      <c r="L6" s="5"/>
      <c r="M6" s="5" t="s">
        <v>180</v>
      </c>
      <c r="N6" s="5"/>
      <c r="O6" s="5"/>
      <c r="P6" s="5"/>
    </row>
    <row r="7" spans="1:16" ht="43.2">
      <c r="A7" s="5" t="s">
        <v>16</v>
      </c>
      <c r="B7" s="5" t="s">
        <v>17</v>
      </c>
      <c r="C7" s="5" t="s">
        <v>51</v>
      </c>
      <c r="D7" s="5" t="s">
        <v>52</v>
      </c>
      <c r="E7" s="5" t="s">
        <v>20</v>
      </c>
      <c r="F7" s="5" t="s">
        <v>21</v>
      </c>
      <c r="G7" s="5" t="s">
        <v>22</v>
      </c>
      <c r="H7" s="5" t="s">
        <v>53</v>
      </c>
      <c r="I7" s="5" t="s">
        <v>54</v>
      </c>
      <c r="J7" s="5" t="s">
        <v>55</v>
      </c>
      <c r="K7" s="5" t="s">
        <v>56</v>
      </c>
      <c r="L7" s="5"/>
      <c r="M7" s="5" t="s">
        <v>180</v>
      </c>
      <c r="N7" s="5"/>
      <c r="O7" s="5"/>
      <c r="P7" s="5"/>
    </row>
    <row r="8" spans="1:16" ht="43.2">
      <c r="A8" s="5" t="s">
        <v>16</v>
      </c>
      <c r="B8" s="5" t="s">
        <v>17</v>
      </c>
      <c r="C8" s="5" t="s">
        <v>57</v>
      </c>
      <c r="D8" s="5" t="s">
        <v>58</v>
      </c>
      <c r="E8" s="5" t="s">
        <v>59</v>
      </c>
      <c r="F8" s="5" t="s">
        <v>21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L8" s="5"/>
      <c r="M8" s="5" t="s">
        <v>180</v>
      </c>
      <c r="N8" s="5"/>
      <c r="O8" s="5"/>
      <c r="P8" s="5"/>
    </row>
    <row r="9" spans="1:16" ht="57.6">
      <c r="A9" s="5" t="s">
        <v>16</v>
      </c>
      <c r="B9" s="5" t="s">
        <v>17</v>
      </c>
      <c r="C9" s="5" t="s">
        <v>65</v>
      </c>
      <c r="D9" s="5" t="s">
        <v>58</v>
      </c>
      <c r="E9" s="5" t="s">
        <v>59</v>
      </c>
      <c r="F9" s="5" t="s">
        <v>21</v>
      </c>
      <c r="G9" s="5" t="s">
        <v>66</v>
      </c>
      <c r="H9" s="5" t="s">
        <v>67</v>
      </c>
      <c r="I9" s="5" t="s">
        <v>68</v>
      </c>
      <c r="J9" s="5" t="s">
        <v>69</v>
      </c>
      <c r="K9" s="5" t="s">
        <v>70</v>
      </c>
      <c r="L9" s="5"/>
      <c r="M9" s="5" t="s">
        <v>180</v>
      </c>
      <c r="N9" s="5"/>
      <c r="O9" s="5"/>
      <c r="P9" s="5"/>
    </row>
    <row r="10" spans="1:16" ht="43.2">
      <c r="A10" s="6" t="s">
        <v>71</v>
      </c>
      <c r="B10" s="6" t="s">
        <v>72</v>
      </c>
      <c r="C10" s="6" t="s">
        <v>73</v>
      </c>
      <c r="D10" s="6" t="s">
        <v>74</v>
      </c>
      <c r="E10" s="6" t="s">
        <v>20</v>
      </c>
      <c r="F10" s="6" t="s">
        <v>21</v>
      </c>
      <c r="G10" s="6" t="s">
        <v>75</v>
      </c>
      <c r="H10" s="6" t="s">
        <v>206</v>
      </c>
      <c r="I10" s="6" t="s">
        <v>76</v>
      </c>
      <c r="J10" s="6" t="s">
        <v>77</v>
      </c>
      <c r="K10" s="6" t="s">
        <v>78</v>
      </c>
      <c r="L10" s="6"/>
      <c r="M10" s="6" t="s">
        <v>180</v>
      </c>
      <c r="N10" s="6"/>
      <c r="O10" s="6"/>
      <c r="P10" s="6"/>
    </row>
    <row r="11" spans="1:16" ht="28.8">
      <c r="A11" s="4" t="s">
        <v>71</v>
      </c>
      <c r="B11" s="4" t="s">
        <v>72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  <c r="L11" s="4"/>
      <c r="M11" s="4" t="s">
        <v>181</v>
      </c>
      <c r="N11" s="4"/>
      <c r="O11" s="4"/>
      <c r="P11" s="4"/>
    </row>
    <row r="12" spans="1:16" ht="28.8">
      <c r="A12" s="6" t="s">
        <v>71</v>
      </c>
      <c r="B12" s="6" t="s">
        <v>72</v>
      </c>
      <c r="C12" s="6" t="s">
        <v>88</v>
      </c>
      <c r="D12" s="6" t="s">
        <v>80</v>
      </c>
      <c r="E12" s="6" t="s">
        <v>81</v>
      </c>
      <c r="F12" s="6" t="s">
        <v>21</v>
      </c>
      <c r="G12" s="6" t="s">
        <v>89</v>
      </c>
      <c r="H12" s="6" t="s">
        <v>90</v>
      </c>
      <c r="I12" s="6" t="s">
        <v>207</v>
      </c>
      <c r="J12" s="6" t="s">
        <v>91</v>
      </c>
      <c r="K12" s="6" t="s">
        <v>92</v>
      </c>
      <c r="L12" s="6"/>
      <c r="M12" s="6" t="s">
        <v>180</v>
      </c>
      <c r="N12" s="6"/>
      <c r="O12" s="6"/>
      <c r="P12" s="6"/>
    </row>
    <row r="13" spans="1:16" ht="43.2">
      <c r="A13" s="7" t="s">
        <v>71</v>
      </c>
      <c r="B13" s="7" t="s">
        <v>72</v>
      </c>
      <c r="C13" s="7" t="s">
        <v>93</v>
      </c>
      <c r="D13" s="7" t="s">
        <v>74</v>
      </c>
      <c r="E13" s="7" t="s">
        <v>81</v>
      </c>
      <c r="F13" s="7" t="s">
        <v>21</v>
      </c>
      <c r="G13" s="7" t="s">
        <v>94</v>
      </c>
      <c r="H13" s="7" t="s">
        <v>95</v>
      </c>
      <c r="I13" s="7" t="s">
        <v>96</v>
      </c>
      <c r="J13" s="7" t="s">
        <v>97</v>
      </c>
      <c r="K13" s="7" t="s">
        <v>98</v>
      </c>
      <c r="L13" s="7"/>
      <c r="M13" s="7" t="s">
        <v>183</v>
      </c>
      <c r="N13" s="7"/>
      <c r="O13" s="7"/>
      <c r="P13" s="7"/>
    </row>
    <row r="14" spans="1:16" ht="43.2">
      <c r="A14" s="5" t="s">
        <v>71</v>
      </c>
      <c r="B14" s="5" t="s">
        <v>72</v>
      </c>
      <c r="C14" s="5" t="s">
        <v>99</v>
      </c>
      <c r="D14" s="5" t="s">
        <v>74</v>
      </c>
      <c r="E14" s="5" t="s">
        <v>20</v>
      </c>
      <c r="F14" s="5" t="s">
        <v>30</v>
      </c>
      <c r="G14" s="5" t="s">
        <v>100</v>
      </c>
      <c r="H14" s="5" t="s">
        <v>101</v>
      </c>
      <c r="I14" s="5" t="s">
        <v>102</v>
      </c>
      <c r="J14" s="5" t="s">
        <v>103</v>
      </c>
      <c r="K14" s="5" t="s">
        <v>104</v>
      </c>
      <c r="L14" s="5"/>
      <c r="M14" s="5" t="s">
        <v>180</v>
      </c>
      <c r="N14" s="5"/>
      <c r="O14" s="5"/>
      <c r="P14" s="5"/>
    </row>
    <row r="15" spans="1:16" ht="86.4">
      <c r="A15" s="6" t="s">
        <v>71</v>
      </c>
      <c r="B15" s="6" t="s">
        <v>72</v>
      </c>
      <c r="C15" s="6" t="s">
        <v>105</v>
      </c>
      <c r="D15" s="6" t="s">
        <v>106</v>
      </c>
      <c r="E15" s="6" t="s">
        <v>107</v>
      </c>
      <c r="F15" s="6" t="s">
        <v>82</v>
      </c>
      <c r="G15" s="6" t="s">
        <v>208</v>
      </c>
      <c r="H15" s="6" t="s">
        <v>209</v>
      </c>
      <c r="I15" s="6" t="s">
        <v>210</v>
      </c>
      <c r="J15" s="6" t="s">
        <v>211</v>
      </c>
      <c r="K15" s="6" t="s">
        <v>212</v>
      </c>
      <c r="L15" s="6"/>
      <c r="M15" s="6" t="s">
        <v>180</v>
      </c>
      <c r="N15" s="6"/>
      <c r="O15" s="6"/>
      <c r="P15" s="6"/>
    </row>
    <row r="16" spans="1:16" ht="72">
      <c r="A16" s="5" t="s">
        <v>71</v>
      </c>
      <c r="B16" s="5" t="s">
        <v>72</v>
      </c>
      <c r="C16" s="5" t="s">
        <v>108</v>
      </c>
      <c r="D16" s="5" t="s">
        <v>109</v>
      </c>
      <c r="E16" s="5" t="s">
        <v>110</v>
      </c>
      <c r="F16" s="5" t="s">
        <v>21</v>
      </c>
      <c r="G16" s="5" t="s">
        <v>111</v>
      </c>
      <c r="H16" s="5" t="s">
        <v>112</v>
      </c>
      <c r="I16" s="5" t="s">
        <v>113</v>
      </c>
      <c r="J16" s="5" t="s">
        <v>114</v>
      </c>
      <c r="K16" s="5" t="s">
        <v>115</v>
      </c>
      <c r="L16" s="5"/>
      <c r="M16" s="5" t="s">
        <v>180</v>
      </c>
      <c r="N16" s="5"/>
      <c r="O16" s="5"/>
      <c r="P16" s="5"/>
    </row>
    <row r="17" spans="1:18" ht="43.2">
      <c r="A17" s="5" t="s">
        <v>116</v>
      </c>
      <c r="B17" s="5" t="s">
        <v>117</v>
      </c>
      <c r="C17" s="5" t="s">
        <v>118</v>
      </c>
      <c r="D17" s="5" t="s">
        <v>119</v>
      </c>
      <c r="E17" s="5" t="s">
        <v>81</v>
      </c>
      <c r="F17" s="5" t="s">
        <v>21</v>
      </c>
      <c r="G17" s="5" t="s">
        <v>120</v>
      </c>
      <c r="H17" s="5" t="s">
        <v>121</v>
      </c>
      <c r="I17" s="5" t="s">
        <v>122</v>
      </c>
      <c r="J17" s="5" t="s">
        <v>123</v>
      </c>
      <c r="K17" s="5" t="s">
        <v>124</v>
      </c>
      <c r="L17" s="5"/>
      <c r="M17" s="5" t="s">
        <v>180</v>
      </c>
      <c r="N17" s="5"/>
      <c r="O17" s="5"/>
      <c r="P17" s="5"/>
    </row>
    <row r="18" spans="1:18" ht="43.2">
      <c r="A18" s="5" t="s">
        <v>116</v>
      </c>
      <c r="B18" s="5" t="s">
        <v>117</v>
      </c>
      <c r="C18" s="5" t="s">
        <v>125</v>
      </c>
      <c r="D18" s="5" t="s">
        <v>119</v>
      </c>
      <c r="E18" s="5" t="s">
        <v>81</v>
      </c>
      <c r="F18" s="5" t="s">
        <v>82</v>
      </c>
      <c r="G18" s="5" t="s">
        <v>120</v>
      </c>
      <c r="H18" s="5" t="s">
        <v>126</v>
      </c>
      <c r="I18" s="5" t="s">
        <v>127</v>
      </c>
      <c r="J18" s="5" t="s">
        <v>128</v>
      </c>
      <c r="K18" s="5" t="s">
        <v>87</v>
      </c>
      <c r="L18" s="5"/>
      <c r="M18" s="5" t="s">
        <v>180</v>
      </c>
      <c r="N18" s="5"/>
      <c r="O18" s="5"/>
      <c r="P18" s="5"/>
    </row>
    <row r="19" spans="1:18" ht="43.2">
      <c r="A19" s="5" t="s">
        <v>116</v>
      </c>
      <c r="B19" s="5" t="s">
        <v>117</v>
      </c>
      <c r="C19" s="5" t="s">
        <v>129</v>
      </c>
      <c r="D19" s="5" t="s">
        <v>119</v>
      </c>
      <c r="E19" s="5" t="s">
        <v>130</v>
      </c>
      <c r="F19" s="5" t="s">
        <v>21</v>
      </c>
      <c r="G19" s="5" t="s">
        <v>120</v>
      </c>
      <c r="H19" s="5" t="s">
        <v>131</v>
      </c>
      <c r="I19" s="5" t="s">
        <v>132</v>
      </c>
      <c r="J19" s="5" t="s">
        <v>133</v>
      </c>
      <c r="K19" s="5" t="s">
        <v>134</v>
      </c>
      <c r="L19" s="5"/>
      <c r="M19" s="5" t="s">
        <v>180</v>
      </c>
      <c r="N19" s="5"/>
      <c r="O19" s="5"/>
      <c r="P19" s="5"/>
    </row>
    <row r="20" spans="1:18" ht="43.2">
      <c r="A20" s="4" t="s">
        <v>116</v>
      </c>
      <c r="B20" s="4" t="s">
        <v>117</v>
      </c>
      <c r="C20" s="4" t="s">
        <v>135</v>
      </c>
      <c r="D20" s="4" t="s">
        <v>119</v>
      </c>
      <c r="E20" s="4" t="s">
        <v>136</v>
      </c>
      <c r="F20" s="4" t="s">
        <v>82</v>
      </c>
      <c r="G20" s="4" t="s">
        <v>137</v>
      </c>
      <c r="H20" s="4" t="s">
        <v>138</v>
      </c>
      <c r="I20" s="4" t="s">
        <v>139</v>
      </c>
      <c r="J20" s="4" t="s">
        <v>140</v>
      </c>
      <c r="K20" s="4" t="s">
        <v>141</v>
      </c>
      <c r="L20" s="4"/>
      <c r="M20" s="4" t="s">
        <v>181</v>
      </c>
      <c r="N20" s="4"/>
      <c r="O20" s="4"/>
      <c r="P20" s="4"/>
    </row>
    <row r="21" spans="1:18" ht="28.8">
      <c r="A21" s="13" t="s">
        <v>116</v>
      </c>
      <c r="B21" s="13" t="s">
        <v>117</v>
      </c>
      <c r="C21" s="13" t="s">
        <v>142</v>
      </c>
      <c r="D21" s="13" t="s">
        <v>119</v>
      </c>
      <c r="E21" s="13" t="s">
        <v>81</v>
      </c>
      <c r="F21" s="13" t="s">
        <v>21</v>
      </c>
      <c r="G21" s="13" t="s">
        <v>137</v>
      </c>
      <c r="H21" s="13" t="s">
        <v>143</v>
      </c>
      <c r="I21" s="13" t="s">
        <v>144</v>
      </c>
      <c r="J21" s="13" t="s">
        <v>145</v>
      </c>
      <c r="K21" s="13" t="s">
        <v>146</v>
      </c>
      <c r="L21" s="13"/>
      <c r="M21" s="13" t="s">
        <v>182</v>
      </c>
      <c r="N21" s="13"/>
      <c r="O21" s="13"/>
      <c r="P21" s="13"/>
    </row>
    <row r="22" spans="1:18" ht="72">
      <c r="A22" s="4" t="s">
        <v>116</v>
      </c>
      <c r="B22" s="4" t="s">
        <v>117</v>
      </c>
      <c r="C22" s="4" t="s">
        <v>147</v>
      </c>
      <c r="D22" s="4" t="s">
        <v>119</v>
      </c>
      <c r="E22" s="4" t="s">
        <v>148</v>
      </c>
      <c r="F22" s="4" t="s">
        <v>82</v>
      </c>
      <c r="G22" s="4" t="s">
        <v>149</v>
      </c>
      <c r="H22" s="4" t="s">
        <v>150</v>
      </c>
      <c r="I22" s="4" t="s">
        <v>151</v>
      </c>
      <c r="J22" s="4" t="s">
        <v>152</v>
      </c>
      <c r="K22" s="4" t="s">
        <v>153</v>
      </c>
      <c r="L22" s="4"/>
      <c r="M22" s="12" t="s">
        <v>181</v>
      </c>
      <c r="N22" s="4"/>
      <c r="O22" s="4"/>
      <c r="P22" s="4"/>
    </row>
    <row r="23" spans="1:18" ht="43.2">
      <c r="A23" s="5" t="s">
        <v>154</v>
      </c>
      <c r="B23" s="5" t="s">
        <v>155</v>
      </c>
      <c r="C23" s="5" t="s">
        <v>156</v>
      </c>
      <c r="D23" s="5" t="s">
        <v>157</v>
      </c>
      <c r="E23" s="5" t="s">
        <v>20</v>
      </c>
      <c r="F23" s="5" t="s">
        <v>30</v>
      </c>
      <c r="G23" s="5" t="s">
        <v>158</v>
      </c>
      <c r="H23" s="5" t="s">
        <v>159</v>
      </c>
      <c r="I23" s="5" t="s">
        <v>160</v>
      </c>
      <c r="J23" s="5" t="s">
        <v>161</v>
      </c>
      <c r="K23" s="5" t="s">
        <v>162</v>
      </c>
      <c r="L23" s="5"/>
      <c r="M23" s="5" t="s">
        <v>180</v>
      </c>
      <c r="N23" s="5"/>
      <c r="O23" s="5"/>
      <c r="P23" s="5"/>
    </row>
    <row r="24" spans="1:18" ht="57.6">
      <c r="A24" s="13" t="s">
        <v>154</v>
      </c>
      <c r="B24" s="13" t="s">
        <v>155</v>
      </c>
      <c r="C24" s="13" t="s">
        <v>163</v>
      </c>
      <c r="D24" s="13" t="s">
        <v>157</v>
      </c>
      <c r="E24" s="13" t="s">
        <v>130</v>
      </c>
      <c r="F24" s="13" t="s">
        <v>30</v>
      </c>
      <c r="G24" s="13" t="s">
        <v>164</v>
      </c>
      <c r="H24" s="13" t="s">
        <v>165</v>
      </c>
      <c r="I24" s="13" t="s">
        <v>166</v>
      </c>
      <c r="J24" s="13" t="s">
        <v>167</v>
      </c>
      <c r="K24" s="13" t="s">
        <v>168</v>
      </c>
      <c r="L24" s="13"/>
      <c r="M24" s="13" t="s">
        <v>182</v>
      </c>
      <c r="N24" s="13"/>
      <c r="O24" s="13"/>
      <c r="P24" s="13"/>
      <c r="R24" s="11"/>
    </row>
    <row r="25" spans="1:18" ht="72">
      <c r="A25" s="13" t="s">
        <v>154</v>
      </c>
      <c r="B25" s="13" t="s">
        <v>155</v>
      </c>
      <c r="C25" s="13" t="s">
        <v>169</v>
      </c>
      <c r="D25" s="13" t="s">
        <v>157</v>
      </c>
      <c r="E25" s="13" t="s">
        <v>170</v>
      </c>
      <c r="F25" s="13" t="s">
        <v>21</v>
      </c>
      <c r="G25" s="13" t="s">
        <v>171</v>
      </c>
      <c r="H25" s="13" t="s">
        <v>172</v>
      </c>
      <c r="I25" s="13" t="s">
        <v>173</v>
      </c>
      <c r="J25" s="13" t="s">
        <v>174</v>
      </c>
      <c r="K25" s="13" t="s">
        <v>175</v>
      </c>
      <c r="L25" s="13"/>
      <c r="M25" s="13" t="s">
        <v>182</v>
      </c>
      <c r="N25" s="13"/>
      <c r="O25" s="13"/>
      <c r="P25" s="13"/>
    </row>
    <row r="26" spans="1:18" ht="115.2">
      <c r="A26" s="8" t="s">
        <v>16</v>
      </c>
      <c r="B26" s="8" t="s">
        <v>213</v>
      </c>
      <c r="C26" s="8" t="s">
        <v>214</v>
      </c>
      <c r="D26" s="8" t="s">
        <v>19</v>
      </c>
      <c r="E26" s="8" t="s">
        <v>215</v>
      </c>
      <c r="F26" s="8" t="s">
        <v>21</v>
      </c>
      <c r="G26" s="8" t="s">
        <v>283</v>
      </c>
      <c r="H26" s="8" t="s">
        <v>284</v>
      </c>
      <c r="I26" s="8" t="s">
        <v>317</v>
      </c>
      <c r="J26" s="8" t="s">
        <v>216</v>
      </c>
      <c r="K26" s="8" t="s">
        <v>217</v>
      </c>
      <c r="L26" s="8"/>
      <c r="M26" s="14" t="s">
        <v>27</v>
      </c>
      <c r="N26" s="8"/>
      <c r="O26" s="8"/>
      <c r="P26" s="15" t="s">
        <v>218</v>
      </c>
    </row>
    <row r="27" spans="1:18" ht="100.8">
      <c r="A27" s="8" t="s">
        <v>16</v>
      </c>
      <c r="B27" s="8" t="s">
        <v>213</v>
      </c>
      <c r="C27" s="8" t="s">
        <v>219</v>
      </c>
      <c r="D27" s="8" t="s">
        <v>29</v>
      </c>
      <c r="E27" s="8" t="s">
        <v>215</v>
      </c>
      <c r="F27" s="8" t="s">
        <v>30</v>
      </c>
      <c r="G27" s="8" t="s">
        <v>283</v>
      </c>
      <c r="H27" s="8" t="s">
        <v>286</v>
      </c>
      <c r="I27" s="8" t="s">
        <v>318</v>
      </c>
      <c r="J27" s="8" t="s">
        <v>220</v>
      </c>
      <c r="K27" s="8" t="s">
        <v>221</v>
      </c>
      <c r="L27" s="8"/>
      <c r="M27" s="14" t="s">
        <v>27</v>
      </c>
      <c r="N27" s="8"/>
      <c r="O27" s="8"/>
      <c r="P27" s="8" t="s">
        <v>222</v>
      </c>
    </row>
    <row r="28" spans="1:18" ht="57.6">
      <c r="A28" s="8" t="s">
        <v>16</v>
      </c>
      <c r="B28" s="8" t="s">
        <v>213</v>
      </c>
      <c r="C28" s="8" t="s">
        <v>223</v>
      </c>
      <c r="D28" s="8" t="s">
        <v>29</v>
      </c>
      <c r="E28" s="8" t="s">
        <v>224</v>
      </c>
      <c r="F28" s="8" t="s">
        <v>30</v>
      </c>
      <c r="G28" s="8" t="s">
        <v>283</v>
      </c>
      <c r="H28" s="10" t="s">
        <v>288</v>
      </c>
      <c r="I28" s="8" t="s">
        <v>289</v>
      </c>
      <c r="J28" s="8" t="s">
        <v>225</v>
      </c>
      <c r="K28" s="8" t="s">
        <v>226</v>
      </c>
      <c r="L28" s="8"/>
      <c r="M28" s="14" t="s">
        <v>27</v>
      </c>
      <c r="N28" s="8"/>
      <c r="O28" s="8"/>
      <c r="P28" s="8" t="s">
        <v>227</v>
      </c>
    </row>
    <row r="29" spans="1:18" ht="57.6">
      <c r="A29" s="8" t="s">
        <v>16</v>
      </c>
      <c r="B29" s="8" t="s">
        <v>213</v>
      </c>
      <c r="C29" s="8" t="s">
        <v>228</v>
      </c>
      <c r="D29" s="8" t="s">
        <v>46</v>
      </c>
      <c r="E29" s="8" t="s">
        <v>215</v>
      </c>
      <c r="F29" s="8" t="s">
        <v>21</v>
      </c>
      <c r="G29" s="8" t="s">
        <v>283</v>
      </c>
      <c r="H29" s="8" t="s">
        <v>290</v>
      </c>
      <c r="I29" s="8" t="s">
        <v>291</v>
      </c>
      <c r="J29" s="8" t="s">
        <v>292</v>
      </c>
      <c r="K29" s="8" t="s">
        <v>229</v>
      </c>
      <c r="L29" s="8"/>
      <c r="M29" s="14" t="s">
        <v>27</v>
      </c>
      <c r="N29" s="8"/>
      <c r="O29" s="8"/>
      <c r="P29" s="8" t="s">
        <v>230</v>
      </c>
    </row>
    <row r="30" spans="1:18" ht="57.6">
      <c r="A30" s="8" t="s">
        <v>16</v>
      </c>
      <c r="B30" s="8" t="s">
        <v>213</v>
      </c>
      <c r="C30" s="8" t="s">
        <v>231</v>
      </c>
      <c r="D30" s="8" t="s">
        <v>52</v>
      </c>
      <c r="E30" s="8" t="s">
        <v>215</v>
      </c>
      <c r="F30" s="8" t="s">
        <v>21</v>
      </c>
      <c r="G30" s="8" t="s">
        <v>293</v>
      </c>
      <c r="H30" s="8" t="s">
        <v>294</v>
      </c>
      <c r="I30" s="8" t="s">
        <v>295</v>
      </c>
      <c r="J30" s="8" t="s">
        <v>296</v>
      </c>
      <c r="K30" s="8" t="s">
        <v>232</v>
      </c>
      <c r="L30" s="8"/>
      <c r="M30" s="14" t="s">
        <v>27</v>
      </c>
      <c r="N30" s="8"/>
      <c r="O30" s="8"/>
      <c r="P30" s="8" t="s">
        <v>233</v>
      </c>
    </row>
    <row r="31" spans="1:18" ht="57.6">
      <c r="A31" s="8" t="s">
        <v>71</v>
      </c>
      <c r="B31" s="8" t="s">
        <v>241</v>
      </c>
      <c r="C31" s="8" t="s">
        <v>242</v>
      </c>
      <c r="D31" s="8" t="s">
        <v>74</v>
      </c>
      <c r="E31" s="8" t="s">
        <v>215</v>
      </c>
      <c r="F31" s="8" t="s">
        <v>21</v>
      </c>
      <c r="G31" s="8" t="s">
        <v>298</v>
      </c>
      <c r="H31" s="8" t="s">
        <v>243</v>
      </c>
      <c r="I31" s="8" t="s">
        <v>299</v>
      </c>
      <c r="J31" s="8" t="s">
        <v>244</v>
      </c>
      <c r="K31" s="8" t="s">
        <v>245</v>
      </c>
      <c r="L31" s="8"/>
      <c r="M31" s="14" t="s">
        <v>27</v>
      </c>
      <c r="N31" s="8"/>
      <c r="O31" s="8"/>
      <c r="P31" s="8" t="s">
        <v>246</v>
      </c>
    </row>
    <row r="32" spans="1:18" ht="57.6">
      <c r="A32" s="8" t="s">
        <v>71</v>
      </c>
      <c r="B32" s="8" t="s">
        <v>241</v>
      </c>
      <c r="C32" s="8" t="s">
        <v>247</v>
      </c>
      <c r="D32" s="8" t="s">
        <v>80</v>
      </c>
      <c r="E32" s="8" t="s">
        <v>248</v>
      </c>
      <c r="F32" s="8" t="s">
        <v>82</v>
      </c>
      <c r="G32" s="8" t="s">
        <v>300</v>
      </c>
      <c r="H32" s="8" t="s">
        <v>249</v>
      </c>
      <c r="I32" s="8" t="s">
        <v>301</v>
      </c>
      <c r="J32" s="8" t="s">
        <v>302</v>
      </c>
      <c r="K32" s="8" t="s">
        <v>250</v>
      </c>
      <c r="L32" s="8"/>
      <c r="M32" s="14" t="s">
        <v>27</v>
      </c>
      <c r="N32" s="8"/>
      <c r="O32" s="8" t="s">
        <v>251</v>
      </c>
      <c r="P32" s="8" t="s">
        <v>252</v>
      </c>
    </row>
    <row r="33" spans="1:16" ht="43.2">
      <c r="A33" s="8" t="s">
        <v>71</v>
      </c>
      <c r="B33" s="8" t="s">
        <v>241</v>
      </c>
      <c r="C33" s="8" t="s">
        <v>253</v>
      </c>
      <c r="D33" s="8" t="s">
        <v>80</v>
      </c>
      <c r="E33" s="8" t="s">
        <v>248</v>
      </c>
      <c r="F33" s="8" t="s">
        <v>21</v>
      </c>
      <c r="G33" s="8" t="s">
        <v>303</v>
      </c>
      <c r="H33" s="8" t="s">
        <v>254</v>
      </c>
      <c r="I33" s="8" t="s">
        <v>304</v>
      </c>
      <c r="J33" s="8" t="s">
        <v>255</v>
      </c>
      <c r="K33" s="8" t="s">
        <v>256</v>
      </c>
      <c r="L33" s="8"/>
      <c r="M33" s="14" t="s">
        <v>27</v>
      </c>
      <c r="N33" s="8"/>
      <c r="O33" s="8"/>
      <c r="P33" s="8" t="s">
        <v>257</v>
      </c>
    </row>
    <row r="34" spans="1:16" ht="100.8">
      <c r="A34" s="8" t="s">
        <v>71</v>
      </c>
      <c r="B34" s="8" t="s">
        <v>241</v>
      </c>
      <c r="C34" s="8" t="s">
        <v>258</v>
      </c>
      <c r="D34" s="8" t="s">
        <v>74</v>
      </c>
      <c r="E34" s="8" t="s">
        <v>248</v>
      </c>
      <c r="F34" s="8" t="s">
        <v>21</v>
      </c>
      <c r="G34" s="8" t="s">
        <v>305</v>
      </c>
      <c r="H34" s="8" t="s">
        <v>259</v>
      </c>
      <c r="I34" s="8" t="s">
        <v>306</v>
      </c>
      <c r="J34" s="8" t="s">
        <v>260</v>
      </c>
      <c r="K34" s="8" t="s">
        <v>261</v>
      </c>
      <c r="L34" s="8"/>
      <c r="M34" s="14" t="s">
        <v>27</v>
      </c>
      <c r="N34" s="8"/>
      <c r="O34" s="8"/>
      <c r="P34" s="8" t="s">
        <v>262</v>
      </c>
    </row>
    <row r="35" spans="1:16" ht="57.6">
      <c r="A35" s="8" t="s">
        <v>71</v>
      </c>
      <c r="B35" s="8" t="s">
        <v>241</v>
      </c>
      <c r="C35" s="8" t="s">
        <v>263</v>
      </c>
      <c r="D35" s="8" t="s">
        <v>106</v>
      </c>
      <c r="E35" s="8" t="s">
        <v>264</v>
      </c>
      <c r="F35" s="8" t="s">
        <v>82</v>
      </c>
      <c r="G35" s="8" t="s">
        <v>307</v>
      </c>
      <c r="H35" s="8" t="s">
        <v>308</v>
      </c>
      <c r="I35" s="8" t="s">
        <v>309</v>
      </c>
      <c r="J35" s="8" t="s">
        <v>211</v>
      </c>
      <c r="K35" s="8" t="s">
        <v>265</v>
      </c>
      <c r="L35" s="8"/>
      <c r="M35" s="14" t="s">
        <v>27</v>
      </c>
      <c r="N35" s="8"/>
      <c r="O35" s="8"/>
      <c r="P35" s="8" t="s">
        <v>266</v>
      </c>
    </row>
    <row r="36" spans="1:16" ht="57.6">
      <c r="A36" s="8" t="s">
        <v>71</v>
      </c>
      <c r="B36" s="8" t="s">
        <v>241</v>
      </c>
      <c r="C36" s="8" t="s">
        <v>267</v>
      </c>
      <c r="D36" s="8" t="s">
        <v>109</v>
      </c>
      <c r="E36" s="8" t="s">
        <v>268</v>
      </c>
      <c r="F36" s="8" t="s">
        <v>21</v>
      </c>
      <c r="G36" s="8" t="s">
        <v>307</v>
      </c>
      <c r="H36" s="8" t="s">
        <v>310</v>
      </c>
      <c r="I36" s="8" t="s">
        <v>311</v>
      </c>
      <c r="J36" s="8" t="s">
        <v>269</v>
      </c>
      <c r="K36" s="8" t="s">
        <v>270</v>
      </c>
      <c r="L36" s="8"/>
      <c r="M36" s="14" t="s">
        <v>27</v>
      </c>
      <c r="N36" s="8"/>
      <c r="O36" s="8"/>
      <c r="P36" s="8" t="s">
        <v>271</v>
      </c>
    </row>
    <row r="37" spans="1:16" ht="86.4">
      <c r="A37" s="8" t="s">
        <v>116</v>
      </c>
      <c r="B37" s="8" t="s">
        <v>117</v>
      </c>
      <c r="C37" s="8" t="s">
        <v>272</v>
      </c>
      <c r="D37" s="8" t="s">
        <v>119</v>
      </c>
      <c r="E37" s="8" t="s">
        <v>273</v>
      </c>
      <c r="F37" s="8" t="s">
        <v>82</v>
      </c>
      <c r="G37" s="8" t="s">
        <v>312</v>
      </c>
      <c r="H37" s="8" t="s">
        <v>274</v>
      </c>
      <c r="I37" s="8" t="s">
        <v>313</v>
      </c>
      <c r="J37" s="8" t="s">
        <v>275</v>
      </c>
      <c r="K37" s="8" t="s">
        <v>276</v>
      </c>
      <c r="L37" s="8"/>
      <c r="M37" s="8" t="s">
        <v>27</v>
      </c>
      <c r="N37" s="8"/>
      <c r="O37" s="8" t="s">
        <v>277</v>
      </c>
      <c r="P37" s="8" t="s">
        <v>278</v>
      </c>
    </row>
    <row r="38" spans="1:16" ht="72">
      <c r="A38" s="8" t="s">
        <v>154</v>
      </c>
      <c r="B38" s="8" t="s">
        <v>155</v>
      </c>
      <c r="C38" s="8" t="s">
        <v>279</v>
      </c>
      <c r="D38" s="8" t="s">
        <v>157</v>
      </c>
      <c r="E38" s="8" t="s">
        <v>280</v>
      </c>
      <c r="F38" s="8" t="s">
        <v>21</v>
      </c>
      <c r="G38" s="8" t="s">
        <v>314</v>
      </c>
      <c r="H38" s="8" t="s">
        <v>310</v>
      </c>
      <c r="I38" s="8" t="s">
        <v>315</v>
      </c>
      <c r="J38" s="8" t="s">
        <v>281</v>
      </c>
      <c r="K38" s="8" t="s">
        <v>282</v>
      </c>
      <c r="L38" s="8"/>
      <c r="M38" s="8" t="s">
        <v>27</v>
      </c>
      <c r="N38" s="8"/>
      <c r="O38" s="8"/>
      <c r="P38" s="8" t="s">
        <v>316</v>
      </c>
    </row>
  </sheetData>
  <conditionalFormatting sqref="M2:M36">
    <cfRule type="expression" dxfId="5" priority="1">
      <formula>$M2="Passou"</formula>
    </cfRule>
    <cfRule type="expression" dxfId="4" priority="2">
      <formula>$M2="Falhou"</formula>
    </cfRule>
    <cfRule type="expression" dxfId="3" priority="3">
      <formula>$M2="Bloqueado"</formula>
    </cfRule>
    <cfRule type="expression" dxfId="2" priority="4">
      <formula>$M2="Em Execução"</formula>
    </cfRule>
    <cfRule type="expression" dxfId="1" priority="5">
      <formula>$M2="Não Executado"</formula>
    </cfRule>
    <cfRule type="expression" dxfId="0" priority="6">
      <formula>$M2="Não Aplicável"</formula>
    </cfRule>
  </conditionalFormatting>
  <dataValidations count="1">
    <dataValidation type="list" sqref="M2:M36" xr:uid="{00000000-0002-0000-0000-000000000000}">
      <formula1>"Não Executado,Em Execução,Passou,Falhou,Bloqueado,Não Aplicável"</formula1>
    </dataValidation>
  </dataValidations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E185-22D8-425E-8C96-CCB606AA57E7}">
  <dimension ref="A1:P15"/>
  <sheetViews>
    <sheetView topLeftCell="A9" workbookViewId="0">
      <selection activeCell="A2" sqref="A2:XFD15"/>
    </sheetView>
  </sheetViews>
  <sheetFormatPr defaultColWidth="32.44140625" defaultRowHeight="14.4"/>
  <cols>
    <col min="1" max="1" width="9.6640625" bestFit="1" customWidth="1"/>
    <col min="2" max="2" width="31.6640625" bestFit="1" customWidth="1"/>
    <col min="3" max="3" width="14.44140625" bestFit="1" customWidth="1"/>
    <col min="4" max="4" width="7.109375" bestFit="1" customWidth="1"/>
    <col min="6" max="6" width="9.6640625" bestFit="1" customWidth="1"/>
    <col min="7" max="7" width="29.77734375" bestFit="1" customWidth="1"/>
    <col min="8" max="8" width="30.6640625" bestFit="1" customWidth="1"/>
    <col min="12" max="12" width="15.6640625" bestFit="1" customWidth="1"/>
    <col min="13" max="13" width="13.5546875" bestFit="1" customWidth="1"/>
    <col min="14" max="14" width="9" bestFit="1" customWidth="1"/>
    <col min="15" max="15" width="8.33203125" bestFit="1" customWidth="1"/>
    <col min="16" max="16" width="32.21875" bestFit="1" customWidth="1"/>
  </cols>
  <sheetData>
    <row r="1" spans="1:1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ht="86.4">
      <c r="A2" s="8" t="s">
        <v>16</v>
      </c>
      <c r="B2" s="8" t="s">
        <v>213</v>
      </c>
      <c r="C2" s="8" t="s">
        <v>214</v>
      </c>
      <c r="D2" s="8" t="s">
        <v>19</v>
      </c>
      <c r="E2" s="8" t="s">
        <v>215</v>
      </c>
      <c r="F2" s="8" t="s">
        <v>21</v>
      </c>
      <c r="G2" s="8" t="s">
        <v>283</v>
      </c>
      <c r="H2" s="8" t="s">
        <v>284</v>
      </c>
      <c r="I2" s="8" t="s">
        <v>285</v>
      </c>
      <c r="J2" s="8" t="s">
        <v>216</v>
      </c>
      <c r="K2" s="8" t="s">
        <v>217</v>
      </c>
      <c r="L2" s="8"/>
      <c r="M2" s="8" t="s">
        <v>27</v>
      </c>
      <c r="N2" s="8"/>
      <c r="O2" s="8"/>
      <c r="P2" s="8" t="s">
        <v>218</v>
      </c>
    </row>
    <row r="3" spans="1:16" ht="72">
      <c r="A3" s="8" t="s">
        <v>16</v>
      </c>
      <c r="B3" s="8" t="s">
        <v>213</v>
      </c>
      <c r="C3" s="8" t="s">
        <v>219</v>
      </c>
      <c r="D3" s="8" t="s">
        <v>29</v>
      </c>
      <c r="E3" s="8" t="s">
        <v>215</v>
      </c>
      <c r="F3" s="8" t="s">
        <v>30</v>
      </c>
      <c r="G3" s="8" t="s">
        <v>283</v>
      </c>
      <c r="H3" s="8" t="s">
        <v>286</v>
      </c>
      <c r="I3" s="8" t="s">
        <v>287</v>
      </c>
      <c r="J3" s="8" t="s">
        <v>220</v>
      </c>
      <c r="K3" s="8" t="s">
        <v>221</v>
      </c>
      <c r="L3" s="8"/>
      <c r="M3" s="8" t="s">
        <v>27</v>
      </c>
      <c r="N3" s="8"/>
      <c r="O3" s="8"/>
      <c r="P3" s="8" t="s">
        <v>222</v>
      </c>
    </row>
    <row r="4" spans="1:16" ht="57.6">
      <c r="A4" s="8" t="s">
        <v>16</v>
      </c>
      <c r="B4" s="8" t="s">
        <v>213</v>
      </c>
      <c r="C4" s="8" t="s">
        <v>223</v>
      </c>
      <c r="D4" s="8" t="s">
        <v>29</v>
      </c>
      <c r="E4" s="8" t="s">
        <v>224</v>
      </c>
      <c r="F4" s="8" t="s">
        <v>30</v>
      </c>
      <c r="G4" s="8" t="s">
        <v>283</v>
      </c>
      <c r="H4" s="10" t="s">
        <v>288</v>
      </c>
      <c r="I4" s="8" t="s">
        <v>289</v>
      </c>
      <c r="J4" s="8" t="s">
        <v>225</v>
      </c>
      <c r="K4" s="8" t="s">
        <v>226</v>
      </c>
      <c r="L4" s="8"/>
      <c r="M4" s="8" t="s">
        <v>27</v>
      </c>
      <c r="N4" s="8"/>
      <c r="O4" s="8"/>
      <c r="P4" s="8" t="s">
        <v>227</v>
      </c>
    </row>
    <row r="5" spans="1:16" ht="57.6">
      <c r="A5" s="8" t="s">
        <v>16</v>
      </c>
      <c r="B5" s="8" t="s">
        <v>213</v>
      </c>
      <c r="C5" s="8" t="s">
        <v>228</v>
      </c>
      <c r="D5" s="8" t="s">
        <v>46</v>
      </c>
      <c r="E5" s="8" t="s">
        <v>215</v>
      </c>
      <c r="F5" s="8" t="s">
        <v>21</v>
      </c>
      <c r="G5" s="8" t="s">
        <v>283</v>
      </c>
      <c r="H5" s="8" t="s">
        <v>290</v>
      </c>
      <c r="I5" s="8" t="s">
        <v>291</v>
      </c>
      <c r="J5" s="8" t="s">
        <v>292</v>
      </c>
      <c r="K5" s="8" t="s">
        <v>229</v>
      </c>
      <c r="L5" s="8"/>
      <c r="M5" s="8" t="s">
        <v>27</v>
      </c>
      <c r="N5" s="8"/>
      <c r="O5" s="8"/>
      <c r="P5" s="8" t="s">
        <v>230</v>
      </c>
    </row>
    <row r="6" spans="1:16" ht="57.6">
      <c r="A6" s="8" t="s">
        <v>16</v>
      </c>
      <c r="B6" s="8" t="s">
        <v>213</v>
      </c>
      <c r="C6" s="8" t="s">
        <v>231</v>
      </c>
      <c r="D6" s="8" t="s">
        <v>52</v>
      </c>
      <c r="E6" s="8" t="s">
        <v>215</v>
      </c>
      <c r="F6" s="8" t="s">
        <v>21</v>
      </c>
      <c r="G6" s="8" t="s">
        <v>293</v>
      </c>
      <c r="H6" s="8" t="s">
        <v>294</v>
      </c>
      <c r="I6" s="8" t="s">
        <v>295</v>
      </c>
      <c r="J6" s="8" t="s">
        <v>296</v>
      </c>
      <c r="K6" s="8" t="s">
        <v>232</v>
      </c>
      <c r="L6" s="8"/>
      <c r="M6" s="8" t="s">
        <v>27</v>
      </c>
      <c r="N6" s="8"/>
      <c r="O6" s="8"/>
      <c r="P6" s="8" t="s">
        <v>233</v>
      </c>
    </row>
    <row r="7" spans="1:16" ht="57.6">
      <c r="A7" s="8" t="s">
        <v>16</v>
      </c>
      <c r="B7" s="8" t="s">
        <v>213</v>
      </c>
      <c r="C7" s="8" t="s">
        <v>234</v>
      </c>
      <c r="D7" s="8" t="s">
        <v>58</v>
      </c>
      <c r="E7" s="8" t="s">
        <v>235</v>
      </c>
      <c r="F7" s="8" t="s">
        <v>21</v>
      </c>
      <c r="G7" s="8" t="s">
        <v>236</v>
      </c>
      <c r="H7" s="8" t="s">
        <v>237</v>
      </c>
      <c r="I7" s="8" t="s">
        <v>297</v>
      </c>
      <c r="J7" s="8" t="s">
        <v>238</v>
      </c>
      <c r="K7" s="8" t="s">
        <v>239</v>
      </c>
      <c r="L7" s="8"/>
      <c r="M7" s="8" t="s">
        <v>27</v>
      </c>
      <c r="N7" s="8"/>
      <c r="O7" s="8"/>
      <c r="P7" s="8" t="s">
        <v>240</v>
      </c>
    </row>
    <row r="8" spans="1:16" ht="57.6">
      <c r="A8" s="8" t="s">
        <v>71</v>
      </c>
      <c r="B8" s="8" t="s">
        <v>241</v>
      </c>
      <c r="C8" s="8" t="s">
        <v>242</v>
      </c>
      <c r="D8" s="8" t="s">
        <v>74</v>
      </c>
      <c r="E8" s="8" t="s">
        <v>215</v>
      </c>
      <c r="F8" s="8" t="s">
        <v>21</v>
      </c>
      <c r="G8" s="8" t="s">
        <v>298</v>
      </c>
      <c r="H8" s="8" t="s">
        <v>243</v>
      </c>
      <c r="I8" s="8" t="s">
        <v>299</v>
      </c>
      <c r="J8" s="8" t="s">
        <v>244</v>
      </c>
      <c r="K8" s="8" t="s">
        <v>245</v>
      </c>
      <c r="L8" s="8"/>
      <c r="M8" s="8" t="s">
        <v>27</v>
      </c>
      <c r="N8" s="8"/>
      <c r="O8" s="8"/>
      <c r="P8" s="8" t="s">
        <v>246</v>
      </c>
    </row>
    <row r="9" spans="1:16" ht="57.6">
      <c r="A9" s="8" t="s">
        <v>71</v>
      </c>
      <c r="B9" s="8" t="s">
        <v>241</v>
      </c>
      <c r="C9" s="8" t="s">
        <v>247</v>
      </c>
      <c r="D9" s="8" t="s">
        <v>80</v>
      </c>
      <c r="E9" s="8" t="s">
        <v>248</v>
      </c>
      <c r="F9" s="8" t="s">
        <v>82</v>
      </c>
      <c r="G9" s="8" t="s">
        <v>300</v>
      </c>
      <c r="H9" s="8" t="s">
        <v>249</v>
      </c>
      <c r="I9" s="8" t="s">
        <v>301</v>
      </c>
      <c r="J9" s="8" t="s">
        <v>302</v>
      </c>
      <c r="K9" s="8" t="s">
        <v>250</v>
      </c>
      <c r="L9" s="8"/>
      <c r="M9" s="8" t="s">
        <v>27</v>
      </c>
      <c r="N9" s="8"/>
      <c r="O9" s="8" t="s">
        <v>251</v>
      </c>
      <c r="P9" s="8" t="s">
        <v>252</v>
      </c>
    </row>
    <row r="10" spans="1:16" ht="43.2">
      <c r="A10" s="8" t="s">
        <v>71</v>
      </c>
      <c r="B10" s="8" t="s">
        <v>241</v>
      </c>
      <c r="C10" s="8" t="s">
        <v>253</v>
      </c>
      <c r="D10" s="8" t="s">
        <v>80</v>
      </c>
      <c r="E10" s="8" t="s">
        <v>248</v>
      </c>
      <c r="F10" s="8" t="s">
        <v>21</v>
      </c>
      <c r="G10" s="8" t="s">
        <v>303</v>
      </c>
      <c r="H10" s="8" t="s">
        <v>254</v>
      </c>
      <c r="I10" s="8" t="s">
        <v>304</v>
      </c>
      <c r="J10" s="8" t="s">
        <v>255</v>
      </c>
      <c r="K10" s="8" t="s">
        <v>256</v>
      </c>
      <c r="L10" s="8"/>
      <c r="M10" s="8" t="s">
        <v>27</v>
      </c>
      <c r="N10" s="8"/>
      <c r="O10" s="8"/>
      <c r="P10" s="8" t="s">
        <v>257</v>
      </c>
    </row>
    <row r="11" spans="1:16" ht="43.2">
      <c r="A11" s="8" t="s">
        <v>71</v>
      </c>
      <c r="B11" s="8" t="s">
        <v>241</v>
      </c>
      <c r="C11" s="8" t="s">
        <v>258</v>
      </c>
      <c r="D11" s="8" t="s">
        <v>74</v>
      </c>
      <c r="E11" s="8" t="s">
        <v>248</v>
      </c>
      <c r="F11" s="8" t="s">
        <v>21</v>
      </c>
      <c r="G11" s="8" t="s">
        <v>305</v>
      </c>
      <c r="H11" s="8" t="s">
        <v>259</v>
      </c>
      <c r="I11" s="8" t="s">
        <v>306</v>
      </c>
      <c r="J11" s="8" t="s">
        <v>260</v>
      </c>
      <c r="K11" s="8" t="s">
        <v>261</v>
      </c>
      <c r="L11" s="8"/>
      <c r="M11" s="8" t="s">
        <v>182</v>
      </c>
      <c r="N11" s="8"/>
      <c r="O11" s="8"/>
      <c r="P11" s="8" t="s">
        <v>262</v>
      </c>
    </row>
    <row r="12" spans="1:16" ht="57.6">
      <c r="A12" s="8" t="s">
        <v>71</v>
      </c>
      <c r="B12" s="8" t="s">
        <v>241</v>
      </c>
      <c r="C12" s="8" t="s">
        <v>263</v>
      </c>
      <c r="D12" s="8" t="s">
        <v>106</v>
      </c>
      <c r="E12" s="8" t="s">
        <v>264</v>
      </c>
      <c r="F12" s="8" t="s">
        <v>82</v>
      </c>
      <c r="G12" s="8" t="s">
        <v>307</v>
      </c>
      <c r="H12" s="8" t="s">
        <v>308</v>
      </c>
      <c r="I12" s="8" t="s">
        <v>309</v>
      </c>
      <c r="J12" s="8" t="s">
        <v>211</v>
      </c>
      <c r="K12" s="8" t="s">
        <v>265</v>
      </c>
      <c r="L12" s="8"/>
      <c r="M12" s="8" t="s">
        <v>27</v>
      </c>
      <c r="N12" s="8"/>
      <c r="O12" s="8"/>
      <c r="P12" s="8" t="s">
        <v>266</v>
      </c>
    </row>
    <row r="13" spans="1:16" ht="57.6">
      <c r="A13" s="8" t="s">
        <v>71</v>
      </c>
      <c r="B13" s="8" t="s">
        <v>241</v>
      </c>
      <c r="C13" s="8" t="s">
        <v>267</v>
      </c>
      <c r="D13" s="8" t="s">
        <v>109</v>
      </c>
      <c r="E13" s="8" t="s">
        <v>268</v>
      </c>
      <c r="F13" s="8" t="s">
        <v>21</v>
      </c>
      <c r="G13" s="8" t="s">
        <v>307</v>
      </c>
      <c r="H13" s="8" t="s">
        <v>310</v>
      </c>
      <c r="I13" s="8" t="s">
        <v>311</v>
      </c>
      <c r="J13" s="8" t="s">
        <v>269</v>
      </c>
      <c r="K13" s="8" t="s">
        <v>270</v>
      </c>
      <c r="L13" s="8"/>
      <c r="M13" s="8" t="s">
        <v>27</v>
      </c>
      <c r="N13" s="8"/>
      <c r="O13" s="8"/>
      <c r="P13" s="8" t="s">
        <v>271</v>
      </c>
    </row>
    <row r="14" spans="1:16" ht="72">
      <c r="A14" s="8" t="s">
        <v>116</v>
      </c>
      <c r="B14" s="8" t="s">
        <v>117</v>
      </c>
      <c r="C14" s="8" t="s">
        <v>272</v>
      </c>
      <c r="D14" s="8" t="s">
        <v>119</v>
      </c>
      <c r="E14" s="8" t="s">
        <v>273</v>
      </c>
      <c r="F14" s="8" t="s">
        <v>82</v>
      </c>
      <c r="G14" s="8" t="s">
        <v>312</v>
      </c>
      <c r="H14" s="8" t="s">
        <v>274</v>
      </c>
      <c r="I14" s="8" t="s">
        <v>313</v>
      </c>
      <c r="J14" s="8" t="s">
        <v>275</v>
      </c>
      <c r="K14" s="8" t="s">
        <v>276</v>
      </c>
      <c r="L14" s="8"/>
      <c r="M14" s="8" t="s">
        <v>27</v>
      </c>
      <c r="N14" s="8"/>
      <c r="O14" s="8" t="s">
        <v>277</v>
      </c>
      <c r="P14" s="8" t="s">
        <v>278</v>
      </c>
    </row>
    <row r="15" spans="1:16" ht="72">
      <c r="A15" s="8" t="s">
        <v>154</v>
      </c>
      <c r="B15" s="8" t="s">
        <v>155</v>
      </c>
      <c r="C15" s="8" t="s">
        <v>279</v>
      </c>
      <c r="D15" s="8" t="s">
        <v>157</v>
      </c>
      <c r="E15" s="8" t="s">
        <v>280</v>
      </c>
      <c r="F15" s="8" t="s">
        <v>21</v>
      </c>
      <c r="G15" s="8" t="s">
        <v>314</v>
      </c>
      <c r="H15" s="8" t="s">
        <v>310</v>
      </c>
      <c r="I15" s="8" t="s">
        <v>315</v>
      </c>
      <c r="J15" s="8" t="s">
        <v>281</v>
      </c>
      <c r="K15" s="8" t="s">
        <v>282</v>
      </c>
      <c r="L15" s="8"/>
      <c r="M15" s="8" t="s">
        <v>27</v>
      </c>
      <c r="N15" s="8"/>
      <c r="O15" s="8"/>
      <c r="P15" s="8" t="s">
        <v>316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/>
  <cols>
    <col min="1" max="1" width="28" customWidth="1"/>
    <col min="2" max="2" width="24" customWidth="1"/>
  </cols>
  <sheetData>
    <row r="1" spans="1:2">
      <c r="A1" s="3" t="s">
        <v>176</v>
      </c>
      <c r="B1" s="3" t="s">
        <v>177</v>
      </c>
    </row>
    <row r="2" spans="1:2">
      <c r="A2" s="2" t="s">
        <v>178</v>
      </c>
      <c r="B2" s="2">
        <f>COUNTA('Casos de Teste'!C2:C25)</f>
        <v>24</v>
      </c>
    </row>
    <row r="3" spans="1:2">
      <c r="A3" s="2" t="s">
        <v>27</v>
      </c>
      <c r="B3" s="2">
        <f>COUNTIF('Casos de Teste'!M2:M25,"Não Executado")</f>
        <v>0</v>
      </c>
    </row>
    <row r="4" spans="1:2">
      <c r="A4" s="2" t="s">
        <v>179</v>
      </c>
      <c r="B4" s="2">
        <f>COUNTIF('Casos de Teste'!M2:M25,"Em Execução")</f>
        <v>0</v>
      </c>
    </row>
    <row r="5" spans="1:2">
      <c r="A5" s="2" t="s">
        <v>180</v>
      </c>
      <c r="B5" s="2">
        <f>COUNTIF('Casos de Teste'!M2:M25,"Passou")</f>
        <v>17</v>
      </c>
    </row>
    <row r="6" spans="1:2">
      <c r="A6" s="2" t="s">
        <v>181</v>
      </c>
      <c r="B6" s="2">
        <f>COUNTIF('Casos de Teste'!M2:M25,"Falhou")</f>
        <v>3</v>
      </c>
    </row>
    <row r="7" spans="1:2">
      <c r="A7" s="2" t="s">
        <v>182</v>
      </c>
      <c r="B7" s="2">
        <f>COUNTIF('Casos de Teste'!M2:M25,"Bloqueado")</f>
        <v>3</v>
      </c>
    </row>
    <row r="8" spans="1:2">
      <c r="A8" s="2" t="s">
        <v>183</v>
      </c>
      <c r="B8" s="2">
        <f>COUNTIF('Casos de Teste'!M2:M25,"Não Aplicável")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9" sqref="B29"/>
    </sheetView>
  </sheetViews>
  <sheetFormatPr defaultRowHeight="14.4"/>
  <cols>
    <col min="1" max="1" width="16" customWidth="1"/>
    <col min="2" max="2" width="110" customWidth="1"/>
  </cols>
  <sheetData>
    <row r="1" spans="1:2">
      <c r="A1" s="3" t="s">
        <v>184</v>
      </c>
      <c r="B1" s="3" t="s">
        <v>185</v>
      </c>
    </row>
    <row r="2" spans="1:2">
      <c r="A2" s="2" t="s">
        <v>186</v>
      </c>
      <c r="B2" s="2" t="s">
        <v>187</v>
      </c>
    </row>
    <row r="3" spans="1:2">
      <c r="A3" s="2" t="s">
        <v>188</v>
      </c>
      <c r="B3" s="2" t="s">
        <v>189</v>
      </c>
    </row>
    <row r="4" spans="1:2">
      <c r="A4" s="2" t="s">
        <v>190</v>
      </c>
      <c r="B4" s="2" t="s">
        <v>191</v>
      </c>
    </row>
    <row r="5" spans="1:2">
      <c r="A5" s="2" t="s">
        <v>192</v>
      </c>
      <c r="B5" s="2" t="s">
        <v>193</v>
      </c>
    </row>
    <row r="6" spans="1:2">
      <c r="A6" s="2" t="s">
        <v>194</v>
      </c>
      <c r="B6" s="2" t="s">
        <v>195</v>
      </c>
    </row>
    <row r="7" spans="1:2">
      <c r="A7" s="2" t="s">
        <v>196</v>
      </c>
      <c r="B7" s="2" t="s">
        <v>197</v>
      </c>
    </row>
    <row r="8" spans="1:2">
      <c r="A8" s="2" t="s">
        <v>198</v>
      </c>
      <c r="B8" s="2" t="s">
        <v>199</v>
      </c>
    </row>
    <row r="9" spans="1:2">
      <c r="A9" s="2" t="s">
        <v>200</v>
      </c>
      <c r="B9" s="2" t="s">
        <v>201</v>
      </c>
    </row>
    <row r="10" spans="1:2">
      <c r="A10" s="2" t="s">
        <v>202</v>
      </c>
      <c r="B10" s="2" t="s">
        <v>203</v>
      </c>
    </row>
    <row r="11" spans="1:2">
      <c r="A11" s="2" t="s">
        <v>204</v>
      </c>
      <c r="B11" s="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Casos de Teste</vt:lpstr>
      <vt:lpstr>Planilha1</vt:lpstr>
      <vt:lpstr>Resumo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Anselmo Luiz Lopes'</cp:lastModifiedBy>
  <dcterms:created xsi:type="dcterms:W3CDTF">2026-10-06T21:03:07Z</dcterms:created>
  <dcterms:modified xsi:type="dcterms:W3CDTF">2026-10-08T19:04:48Z</dcterms:modified>
</cp:coreProperties>
</file>